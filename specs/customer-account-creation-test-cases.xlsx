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9" yWindow="-109" windowWidth="26301" windowHeight="14169" tabRatio="600" firstSheet="0" activeTab="3" autoFilterDateGrouping="1"/>
  </bookViews>
  <sheets>
    <sheet xmlns:r="http://schemas.openxmlformats.org/officeDocument/2006/relationships" name="Summary" sheetId="1" state="visible" r:id="rId1"/>
    <sheet xmlns:r="http://schemas.openxmlformats.org/officeDocument/2006/relationships" name="Config" sheetId="2" state="visible" r:id="rId2"/>
    <sheet xmlns:r="http://schemas.openxmlformats.org/officeDocument/2006/relationships" name="RTM (Detail BRD)" sheetId="3" state="visible" r:id="rId3"/>
    <sheet xmlns:r="http://schemas.openxmlformats.org/officeDocument/2006/relationships" name="a. Customer Account Creation" sheetId="4" state="visible" r:id="rId4"/>
  </sheets>
  <definedNames/>
  <calcPr calcId="191028"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sz val="11"/>
    </font>
    <font>
      <name val="Calibri"/>
      <b val="1"/>
      <color rgb="FFFFFFFF"/>
      <sz val="11"/>
    </font>
    <font>
      <name val="Calibri"/>
      <b val="1"/>
      <color rgb="FF833C0C"/>
      <sz val="11"/>
    </font>
    <font>
      <name val="Calibri"/>
      <sz val="10"/>
    </font>
    <font>
      <name val="Cambria"/>
      <b val="1"/>
      <color rgb="FF000000"/>
      <sz val="11"/>
      <scheme val="major"/>
    </font>
    <font>
      <name val="Cambria"/>
      <color rgb="FF000000"/>
      <sz val="11"/>
      <scheme val="major"/>
    </font>
    <font>
      <name val="Cambria"/>
      <b val="1"/>
      <color rgb="FF000000"/>
      <sz val="10"/>
      <scheme val="major"/>
    </font>
    <font>
      <name val="Cambria"/>
      <color rgb="FF000000"/>
      <sz val="10"/>
      <scheme val="major"/>
    </font>
    <font>
      <name val="Cambria"/>
      <b val="1"/>
      <color theme="1"/>
      <sz val="11"/>
      <scheme val="major"/>
    </font>
    <font>
      <name val="Cambria"/>
      <color theme="1"/>
      <sz val="11"/>
      <scheme val="major"/>
    </font>
    <font>
      <name val="Calibri"/>
      <family val="2"/>
      <color theme="10"/>
      <sz val="11"/>
      <u val="single"/>
      <scheme val="minor"/>
    </font>
    <font>
      <name val="Calibri"/>
      <family val="2"/>
      <color theme="1"/>
      <sz val="10"/>
      <scheme val="minor"/>
    </font>
    <font>
      <name val="Calibri"/>
      <b val="1"/>
      <color theme="1"/>
      <sz val="11"/>
    </font>
    <font>
      <name val="Calibri"/>
      <family val="2"/>
      <sz val="8"/>
      <scheme val="minor"/>
    </font>
    <font>
      <name val="Calibri"/>
      <sz val="11"/>
    </font>
  </fonts>
  <fills count="8">
    <fill>
      <patternFill/>
    </fill>
    <fill>
      <patternFill patternType="gray125"/>
    </fill>
    <fill>
      <patternFill patternType="solid">
        <fgColor rgb="FFD9E1F2"/>
      </patternFill>
    </fill>
    <fill>
      <patternFill patternType="solid">
        <fgColor rgb="FF305496"/>
      </patternFill>
    </fill>
    <fill>
      <patternFill patternType="solid">
        <fgColor rgb="FFFCE4D6"/>
      </patternFill>
    </fill>
    <fill>
      <patternFill patternType="solid">
        <fgColor rgb="FFFFE599"/>
        <bgColor rgb="FF000000"/>
      </patternFill>
    </fill>
    <fill>
      <patternFill patternType="solid">
        <fgColor rgb="FFFFE599"/>
        <bgColor indexed="64"/>
      </patternFill>
    </fill>
    <fill>
      <patternFill patternType="solid">
        <fgColor rgb="FF305496"/>
        <bgColor indexed="64"/>
      </patternFill>
    </fill>
  </fills>
  <borders count="11">
    <border>
      <left/>
      <right/>
      <top/>
      <bottom/>
      <diagonal/>
    </border>
    <border>
      <left style="thin">
        <color rgb="FF9CA3AF"/>
      </left>
      <right style="thin">
        <color rgb="FF9CA3AF"/>
      </right>
      <top style="thin">
        <color rgb="FF9CA3AF"/>
      </top>
      <bottom style="thin">
        <color rgb="FF9CA3AF"/>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9CA3AF"/>
      </left>
      <right style="thin">
        <color rgb="FF9CA3AF"/>
      </right>
      <top style="thin">
        <color rgb="FF9CA3AF"/>
      </top>
      <bottom/>
      <diagonal/>
    </border>
    <border>
      <left/>
      <right/>
      <top style="thin">
        <color rgb="FF9CA3AF"/>
      </top>
      <bottom style="thin">
        <color rgb="FF9CA3AF"/>
      </bottom>
      <diagonal/>
    </border>
    <border>
      <left/>
      <right/>
      <top style="thin">
        <color rgb="FF9CA3AF"/>
      </top>
      <bottom/>
      <diagonal/>
    </border>
    <border/>
  </borders>
  <cellStyleXfs count="2">
    <xf numFmtId="0" fontId="0" fillId="0" borderId="0"/>
    <xf numFmtId="0" fontId="11" fillId="0" borderId="0"/>
  </cellStyleXfs>
  <cellXfs count="36">
    <xf numFmtId="0" fontId="0" fillId="0" borderId="0" pivotButton="0" quotePrefix="0" xfId="0"/>
    <xf numFmtId="0" fontId="1" fillId="2" borderId="0" pivotButton="0" quotePrefix="0" xfId="0"/>
    <xf numFmtId="0" fontId="2" fillId="3" borderId="0" applyAlignment="1" pivotButton="0" quotePrefix="0" xfId="0">
      <alignment horizontal="center" vertical="center"/>
    </xf>
    <xf numFmtId="0" fontId="1" fillId="0" borderId="0" pivotButton="0" quotePrefix="0" xfId="0"/>
    <xf numFmtId="0" fontId="2" fillId="3" borderId="1" applyAlignment="1" pivotButton="0" quotePrefix="0" xfId="0">
      <alignment horizontal="center" vertical="center"/>
    </xf>
    <xf numFmtId="0" fontId="4" fillId="0" borderId="1" applyAlignment="1" pivotButton="0" quotePrefix="0" xfId="0">
      <alignment horizontal="left" vertical="top" wrapText="1"/>
    </xf>
    <xf numFmtId="0" fontId="5" fillId="5" borderId="2" applyAlignment="1" pivotButton="0" quotePrefix="0" xfId="0">
      <alignment vertical="top" wrapText="1" readingOrder="1"/>
    </xf>
    <xf numFmtId="0" fontId="6" fillId="6" borderId="3" applyAlignment="1" pivotButton="0" quotePrefix="0" xfId="0">
      <alignment vertical="center" wrapText="1" readingOrder="1"/>
    </xf>
    <xf numFmtId="9" fontId="6" fillId="6" borderId="4" applyAlignment="1" pivotButton="0" quotePrefix="0" xfId="0">
      <alignment vertical="center" wrapText="1" readingOrder="1"/>
    </xf>
    <xf numFmtId="0" fontId="7" fillId="5" borderId="2" applyAlignment="1" pivotButton="0" quotePrefix="0" xfId="0">
      <alignment vertical="top" wrapText="1" readingOrder="1"/>
    </xf>
    <xf numFmtId="0" fontId="8" fillId="6" borderId="3" applyAlignment="1" pivotButton="0" quotePrefix="0" xfId="0">
      <alignment vertical="center" wrapText="1" readingOrder="1"/>
    </xf>
    <xf numFmtId="9" fontId="8" fillId="6" borderId="4" applyAlignment="1" pivotButton="0" quotePrefix="0" xfId="0">
      <alignment vertical="center" wrapText="1" readingOrder="1"/>
    </xf>
    <xf numFmtId="0" fontId="9" fillId="0" borderId="5" applyAlignment="1" pivotButton="0" quotePrefix="0" xfId="0">
      <alignment horizontal="left" vertical="center"/>
    </xf>
    <xf numFmtId="0" fontId="10" fillId="0" borderId="4" applyAlignment="1" pivotButton="0" quotePrefix="0" xfId="0">
      <alignment vertical="center" wrapText="1"/>
    </xf>
    <xf numFmtId="0" fontId="9" fillId="0" borderId="6" applyAlignment="1" pivotButton="0" quotePrefix="0" xfId="0">
      <alignment horizontal="left" vertical="center"/>
    </xf>
    <xf numFmtId="0" fontId="9" fillId="0" borderId="4" applyAlignment="1" pivotButton="0" quotePrefix="0" xfId="0">
      <alignment vertical="center" wrapText="1"/>
    </xf>
    <xf numFmtId="0" fontId="4" fillId="0" borderId="0" applyAlignment="1" pivotButton="0" quotePrefix="0" xfId="0">
      <alignment horizontal="left" vertical="top" wrapText="1"/>
    </xf>
    <xf numFmtId="0" fontId="4" fillId="0" borderId="7" applyAlignment="1" pivotButton="0" quotePrefix="0" xfId="0">
      <alignment horizontal="left" vertical="top" wrapText="1"/>
    </xf>
    <xf numFmtId="0" fontId="12" fillId="0" borderId="4" applyAlignment="1" pivotButton="0" quotePrefix="0" xfId="0">
      <alignment vertical="top" wrapText="1"/>
    </xf>
    <xf numFmtId="0" fontId="12" fillId="0" borderId="0" pivotButton="0" quotePrefix="0" xfId="0"/>
    <xf numFmtId="0" fontId="9" fillId="0" borderId="0" applyAlignment="1" pivotButton="0" quotePrefix="0" xfId="0">
      <alignment horizontal="left" vertical="center"/>
    </xf>
    <xf numFmtId="0" fontId="9" fillId="0" borderId="0" applyAlignment="1" pivotButton="0" quotePrefix="0" xfId="0">
      <alignment vertical="center" wrapText="1"/>
    </xf>
    <xf numFmtId="0" fontId="11" fillId="0" borderId="1" applyAlignment="1" pivotButton="0" quotePrefix="0" xfId="1">
      <alignment horizontal="left" vertical="top" wrapText="1"/>
    </xf>
    <xf numFmtId="0" fontId="0" fillId="0" borderId="0" applyAlignment="1" pivotButton="0" quotePrefix="0" xfId="0">
      <alignment vertical="top" wrapText="1"/>
    </xf>
    <xf numFmtId="0" fontId="2" fillId="7" borderId="0" applyAlignment="1" pivotButton="0" quotePrefix="0" xfId="0">
      <alignment horizontal="center"/>
    </xf>
    <xf numFmtId="0" fontId="13" fillId="0" borderId="0" pivotButton="0" quotePrefix="0" xfId="0"/>
    <xf numFmtId="164" fontId="0" fillId="0" borderId="0" pivotButton="0" quotePrefix="0" xfId="0"/>
    <xf numFmtId="164" fontId="13" fillId="0" borderId="0" pivotButton="0" quotePrefix="0" xfId="0"/>
    <xf numFmtId="0" fontId="2" fillId="7" borderId="0" applyAlignment="1" pivotButton="0" quotePrefix="0" xfId="0">
      <alignment horizontal="center" vertical="center"/>
    </xf>
    <xf numFmtId="0" fontId="3" fillId="4" borderId="8" applyAlignment="1" pivotButton="0" quotePrefix="0" xfId="0">
      <alignment horizontal="left" vertical="center"/>
    </xf>
    <xf numFmtId="0" fontId="0" fillId="0" borderId="8" pivotButton="0" quotePrefix="0" xfId="0"/>
    <xf numFmtId="0" fontId="3" fillId="4" borderId="0" applyAlignment="1" pivotButton="0" quotePrefix="0" xfId="0">
      <alignment horizontal="left" vertical="center"/>
    </xf>
    <xf numFmtId="0" fontId="0" fillId="0" borderId="0" pivotButton="0" quotePrefix="0" xfId="0"/>
    <xf numFmtId="0" fontId="15" fillId="0" borderId="0" applyAlignment="1" pivotButton="0" quotePrefix="0" xfId="0">
      <alignment horizontal="left" vertical="top" wrapText="1"/>
    </xf>
    <xf numFmtId="0" fontId="4" fillId="0" borderId="1" applyAlignment="1" pivotButton="0" quotePrefix="0" xfId="1">
      <alignment horizontal="left" vertical="top" wrapText="1"/>
    </xf>
    <xf numFmtId="0" fontId="15" fillId="0" borderId="10" pivotButton="0" quotePrefix="0" xfId="0"/>
  </cellXfs>
  <cellStyles count="2">
    <cellStyle name="Normal" xfId="0" builtinId="0"/>
    <cellStyle name="Hyperlink" xfId="1" builtinId="8"/>
  </cellStyles>
  <dxfs count="15">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8" sqref="A18"/>
    </sheetView>
  </sheetViews>
  <sheetFormatPr baseColWidth="8" defaultRowHeight="14.3"/>
  <cols>
    <col width="40" customWidth="1" style="32" min="1" max="1"/>
    <col width="12" customWidth="1" style="32" min="2" max="2"/>
    <col width="14" customWidth="1" style="32" min="3" max="3"/>
    <col width="8.625" bestFit="1" customWidth="1" style="32" min="4" max="4"/>
    <col width="7.25" bestFit="1" customWidth="1" style="32" min="5" max="5"/>
    <col width="6.375" bestFit="1" customWidth="1" style="32" min="6" max="6"/>
    <col width="8.25" bestFit="1" customWidth="1" style="32" min="7" max="7"/>
    <col width="8.125" bestFit="1" customWidth="1" style="32" min="8" max="8"/>
    <col width="8.25" bestFit="1" customWidth="1" style="32" min="9" max="9"/>
    <col width="6.125" bestFit="1" customWidth="1" style="32" min="10" max="10"/>
    <col width="10.875" bestFit="1" customWidth="1" style="32" min="11" max="11"/>
    <col width="11.75" bestFit="1" customWidth="1" style="32" min="12" max="12"/>
  </cols>
  <sheetData>
    <row r="1">
      <c r="A1" s="1" t="inlineStr">
        <is>
          <t>Project</t>
        </is>
      </c>
      <c r="B1" t="inlineStr">
        <is>
          <t>GPP Scan and Shop</t>
        </is>
      </c>
    </row>
    <row r="2">
      <c r="A2" s="1" t="inlineStr">
        <is>
          <t>Document</t>
        </is>
      </c>
      <c r="B2" t="inlineStr">
        <is>
          <t>Customer Account Creation — Manual Test Specification (from customer-account-creation-test-cases.xml)</t>
        </is>
      </c>
    </row>
    <row r="3">
      <c r="A3" s="1" t="inlineStr">
        <is>
          <t>Generated</t>
        </is>
      </c>
      <c r="B3" t="inlineStr">
        <is>
          <t>2026-07-28</t>
        </is>
      </c>
    </row>
    <row r="4">
      <c r="A4" s="1" t="inlineStr">
        <is>
          <t>Author</t>
        </is>
      </c>
      <c r="B4" t="inlineStr">
        <is>
          <t>GPP QA Team</t>
        </is>
      </c>
    </row>
    <row r="6">
      <c r="A6" s="2" t="inlineStr">
        <is>
          <t>Sub-module</t>
        </is>
      </c>
      <c r="B6" s="2" t="inlineStr">
        <is>
          <t>Stories</t>
        </is>
      </c>
      <c r="C6" s="2" t="inlineStr">
        <is>
          <t>Test Cases</t>
        </is>
      </c>
      <c r="D6" s="28" t="inlineStr">
        <is>
          <t>In Scope</t>
        </is>
      </c>
      <c r="E6" s="24" t="inlineStr">
        <is>
          <t>Passed</t>
        </is>
      </c>
      <c r="F6" s="24" t="inlineStr">
        <is>
          <t>Failed</t>
        </is>
      </c>
      <c r="G6" s="24" t="inlineStr">
        <is>
          <t>Pending</t>
        </is>
      </c>
      <c r="H6" s="24" t="inlineStr">
        <is>
          <t>Blocked</t>
        </is>
      </c>
      <c r="I6" s="24" t="inlineStr">
        <is>
          <t>Not test</t>
        </is>
      </c>
      <c r="J6" s="24" t="inlineStr">
        <is>
          <t>Blank</t>
        </is>
      </c>
      <c r="K6" s="24" t="inlineStr">
        <is>
          <t>% Progress</t>
        </is>
      </c>
      <c r="L6" s="24" t="inlineStr">
        <is>
          <t>% Pass Rate</t>
        </is>
      </c>
    </row>
    <row r="7">
      <c r="A7" s="1" t="inlineStr">
        <is>
          <t>Customer Account Creation</t>
        </is>
      </c>
      <c r="B7" t="n">
        <v>1</v>
      </c>
      <c r="C7">
        <f>'a. Customer Account Creation'!F1</f>
        <v/>
      </c>
      <c r="D7">
        <f>C7-I7</f>
        <v/>
      </c>
      <c r="E7">
        <f>COUNTIF('a. Customer Account Creation'!L:L,"Passed")</f>
        <v/>
      </c>
      <c r="F7">
        <f>COUNTIF('a. Customer Account Creation'!L:L,"Failed")</f>
        <v/>
      </c>
      <c r="G7">
        <f>COUNTIF('a. Customer Account Creation'!L:L,"Pending")</f>
        <v/>
      </c>
      <c r="H7">
        <f>COUNTIF('a. Customer Account Creation'!L:L,"Blocked")</f>
        <v/>
      </c>
      <c r="I7">
        <f>COUNTIF('a. Customer Account Creation'!L:L,"Not test")</f>
        <v/>
      </c>
      <c r="J7">
        <f>COUNTIFS('a. Customer Account Creation'!B:B,"TC-*",'a. Customer Account Creation'!L:L,"")</f>
        <v/>
      </c>
      <c r="K7" s="26">
        <f>IF(D7=0,"N/A",(E7+F7+H7)/D7)</f>
        <v/>
      </c>
      <c r="L7" s="26">
        <f>IF(D7=0,"N/A",E7/D7)</f>
        <v/>
      </c>
    </row>
    <row r="8">
      <c r="A8" s="1" t="n"/>
      <c r="K8" s="26" t="n"/>
      <c r="L8" s="26" t="n"/>
    </row>
    <row r="9">
      <c r="A9" s="1" t="n"/>
      <c r="K9" s="26" t="n"/>
      <c r="L9" s="26" t="n"/>
    </row>
    <row r="10">
      <c r="A10" s="1" t="n"/>
      <c r="K10" s="26" t="n"/>
      <c r="L10" s="26" t="n"/>
    </row>
    <row r="11">
      <c r="A11" s="1" t="n"/>
      <c r="K11" s="26" t="n"/>
      <c r="L11" s="26" t="n"/>
    </row>
    <row r="12">
      <c r="A12" s="1" t="n"/>
      <c r="K12" s="26" t="n"/>
      <c r="L12" s="26" t="n"/>
    </row>
    <row r="13">
      <c r="A13" s="1" t="n"/>
      <c r="K13" s="26" t="n"/>
      <c r="L13" s="26" t="n"/>
    </row>
    <row r="14">
      <c r="A14" s="1" t="n"/>
      <c r="K14" s="26" t="n"/>
      <c r="L14" s="26" t="n"/>
    </row>
    <row r="15">
      <c r="A15" s="1" t="n"/>
      <c r="K15" s="26" t="n"/>
      <c r="L15" s="26" t="n"/>
    </row>
    <row r="16">
      <c r="A16" s="1" t="n"/>
      <c r="K16" s="26" t="n"/>
      <c r="L16" s="26" t="n"/>
    </row>
    <row r="17">
      <c r="A17" s="3" t="inlineStr">
        <is>
          <t>TOTAL</t>
        </is>
      </c>
      <c r="B17" s="3">
        <f>SUM(B7:B16)</f>
        <v/>
      </c>
      <c r="C17" s="3">
        <f>SUM(C7:C16)</f>
        <v/>
      </c>
      <c r="D17" s="3">
        <f>SUM(D7:D16)</f>
        <v/>
      </c>
      <c r="E17" s="25">
        <f>SUM(E7:E16)</f>
        <v/>
      </c>
      <c r="F17" s="25">
        <f>SUM(F7:F16)</f>
        <v/>
      </c>
      <c r="G17" s="25">
        <f>SUM(G7:G16)</f>
        <v/>
      </c>
      <c r="H17" s="25">
        <f>SUM(H7:H16)</f>
        <v/>
      </c>
      <c r="I17" s="25">
        <f>SUM(I7:I16)</f>
        <v/>
      </c>
      <c r="J17" s="25">
        <f>SUM(J7:J16)</f>
        <v/>
      </c>
      <c r="K17" s="27">
        <f>IF(D17=0,"N/A",(E17+F17+H17)/D17)</f>
        <v/>
      </c>
      <c r="L17" s="27">
        <f>IF(D17=0,"N/A",E17/D17)</f>
        <v/>
      </c>
    </row>
  </sheetData>
  <conditionalFormatting sqref="K7:K17">
    <cfRule type="colorScale" priority="1">
      <colorScale>
        <cfvo type="min"/>
        <cfvo type="percent" val="50"/>
        <cfvo type="max"/>
        <color rgb="FFFF0000"/>
        <color rgb="FFFFEB84"/>
        <color rgb="FF63BE7B"/>
      </colorScale>
    </cfRule>
  </conditionalFormatting>
  <conditionalFormatting sqref="L7:L17">
    <cfRule type="colorScale" priority="2">
      <colorScale>
        <cfvo type="min"/>
        <cfvo type="percent" val="50"/>
        <cfvo type="max"/>
        <color rgb="FFFF0000"/>
        <color rgb="FFFFEB84"/>
        <color rgb="FF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4.3"/>
  <cols>
    <col width="18" customWidth="1" style="32" min="1" max="1"/>
    <col width="38" customWidth="1" style="32" min="2" max="9"/>
  </cols>
  <sheetData>
    <row r="1">
      <c r="A1" s="2" t="inlineStr">
        <is>
          <t>Lookup</t>
        </is>
      </c>
      <c r="B1" s="2" t="inlineStr">
        <is>
          <t>Values</t>
        </is>
      </c>
    </row>
    <row r="2">
      <c r="A2" s="3" t="inlineStr">
        <is>
          <t>Priority</t>
        </is>
      </c>
      <c r="B2" t="inlineStr">
        <is>
          <t>High</t>
        </is>
      </c>
      <c r="C2" t="inlineStr">
        <is>
          <t>Medium</t>
        </is>
      </c>
      <c r="D2" t="inlineStr">
        <is>
          <t>Low</t>
        </is>
      </c>
    </row>
    <row r="3">
      <c r="A3" s="3" t="inlineStr">
        <is>
          <t>Status</t>
        </is>
      </c>
      <c r="B3" t="inlineStr">
        <is>
          <t>Not test</t>
        </is>
      </c>
      <c r="C3" t="inlineStr">
        <is>
          <t>Passed</t>
        </is>
      </c>
      <c r="D3" t="inlineStr">
        <is>
          <t>Failed</t>
        </is>
      </c>
      <c r="E3" t="inlineStr">
        <is>
          <t>Pending</t>
        </is>
      </c>
      <c r="F3" t="inlineStr">
        <is>
          <t>Blocked</t>
        </is>
      </c>
    </row>
    <row r="4">
      <c r="A4" s="3" t="inlineStr">
        <is>
          <t>Browser</t>
        </is>
      </c>
      <c r="B4" t="inlineStr">
        <is>
          <t>Chrome (latest)</t>
        </is>
      </c>
      <c r="C4" t="inlineStr">
        <is>
          <t>Safari (latest)</t>
        </is>
      </c>
      <c r="D4" t="inlineStr">
        <is>
          <t>Firefox (latest)</t>
        </is>
      </c>
      <c r="E4" t="inlineStr">
        <is>
          <t>Edge (latest)</t>
        </is>
      </c>
    </row>
    <row r="5">
      <c r="A5" s="3" t="inlineStr">
        <is>
          <t>Default user</t>
        </is>
      </c>
      <c r="B5" t="inlineStr">
        <is>
          <t>Store Associate (Sam)</t>
        </is>
      </c>
    </row>
    <row r="6">
      <c r="A6" s="3" t="inlineStr">
        <is>
          <t>Roles</t>
        </is>
      </c>
      <c r="B6" t="inlineStr">
        <is>
          <t>Store Associate (Sam)</t>
        </is>
      </c>
      <c r="C6" t="inlineStr">
        <is>
          <t>Customer (Olivia)</t>
        </is>
      </c>
      <c r="D6" t="inlineStr">
        <is>
          <t>Tailor / Fit Specialist (Tariq)</t>
        </is>
      </c>
      <c r="E6" t="inlineStr">
        <is>
          <t>Order / Brand Administrator (Bianca)</t>
        </is>
      </c>
      <c r="F6" t="inlineStr">
        <is>
          <t>Sizestream Administrator (Sid)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5" topLeftCell="A60" activePane="bottomLeft" state="frozen"/>
      <selection pane="bottomLeft" activeCell="B81" sqref="B81"/>
    </sheetView>
  </sheetViews>
  <sheetFormatPr baseColWidth="8" defaultRowHeight="14.3"/>
  <cols>
    <col width="20" customWidth="1" style="32" min="1" max="1"/>
    <col width="55" customWidth="1" style="32" min="2" max="2"/>
    <col width="40" customWidth="1" style="32" min="3" max="3"/>
    <col width="28" customWidth="1" style="32" min="4" max="5"/>
    <col width="18" customWidth="1" style="32" min="5" max="5"/>
  </cols>
  <sheetData>
    <row r="1">
      <c r="A1" s="1" t="inlineStr">
        <is>
          <t>Project</t>
        </is>
      </c>
      <c r="B1" t="inlineStr">
        <is>
          <t>GPP Scan and Shop</t>
        </is>
      </c>
    </row>
    <row r="2">
      <c r="A2" s="1" t="inlineStr">
        <is>
          <t>Document</t>
        </is>
      </c>
      <c r="B2" t="inlineStr">
        <is>
          <t>Internal_Scan_And_Shop_BRD.md (BRD-SS-001 v1.8) — detail-BRD traceability</t>
        </is>
      </c>
    </row>
    <row r="3">
      <c r="A3" s="1" t="inlineStr">
        <is>
          <t>Generated</t>
        </is>
      </c>
      <c r="B3" t="inlineStr">
        <is>
          <t>2026-07-28</t>
        </is>
      </c>
    </row>
    <row r="5">
      <c r="A5" s="2" t="inlineStr">
        <is>
          <t>Detail Story ID</t>
        </is>
      </c>
      <c r="B5" s="2" t="inlineStr">
        <is>
          <t>Title</t>
        </is>
      </c>
      <c r="C5" s="2" t="inlineStr">
        <is>
          <t>Coverage</t>
        </is>
      </c>
      <c r="D5" s="2" t="inlineStr">
        <is>
          <t>Sheet</t>
        </is>
      </c>
      <c r="E5" s="2" t="inlineStr">
        <is>
          <t>Overview Equivalent</t>
        </is>
      </c>
    </row>
    <row r="6">
      <c r="A6" s="33" t="inlineStr">
        <is>
          <t>FR-01 / §1.0-1.2</t>
        </is>
      </c>
      <c r="B6" s="33" t="inlineStr">
        <is>
          <t>Open Account Creation form in Insert mode with brand context</t>
        </is>
      </c>
      <c r="C6" s="33" t="inlineStr">
        <is>
          <t>TC-036, TC-029</t>
        </is>
      </c>
      <c r="D6" s="33" t="inlineStr">
        <is>
          <t>a. Customer Account Creation</t>
        </is>
      </c>
      <c r="E6" s="33" t="inlineStr">
        <is>
          <t>US-CI-03</t>
        </is>
      </c>
    </row>
    <row r="7">
      <c r="A7" s="33" t="inlineStr">
        <is>
          <t>FR-02 / §2</t>
        </is>
      </c>
      <c r="B7" s="33" t="inlineStr">
        <is>
          <t>Capture Contact Information fields</t>
        </is>
      </c>
      <c r="C7" s="33" t="inlineStr">
        <is>
          <t>TC-001, TC-007, TC-035</t>
        </is>
      </c>
      <c r="D7" s="33" t="inlineStr">
        <is>
          <t>a. Customer Account Creation</t>
        </is>
      </c>
      <c r="E7" s="33" t="inlineStr">
        <is>
          <t>US-CI-06</t>
        </is>
      </c>
    </row>
    <row r="8">
      <c r="A8" s="33" t="inlineStr">
        <is>
          <t>FR-03 / §2</t>
        </is>
      </c>
      <c r="B8" s="33" t="inlineStr">
        <is>
          <t>Capture Address Information fields</t>
        </is>
      </c>
      <c r="C8" s="33" t="inlineStr">
        <is>
          <t>TC-007, TC-035</t>
        </is>
      </c>
      <c r="D8" s="33" t="inlineStr">
        <is>
          <t>a. Customer Account Creation</t>
        </is>
      </c>
      <c r="E8" s="33" t="inlineStr">
        <is>
          <t>US-CI-06</t>
        </is>
      </c>
    </row>
    <row r="9">
      <c r="A9" s="33" t="inlineStr">
        <is>
          <t>FR-04 / §5.1 #50</t>
        </is>
      </c>
      <c r="B9" s="33" t="inlineStr">
        <is>
          <t>First Name required</t>
        </is>
      </c>
      <c r="C9" s="33" t="inlineStr">
        <is>
          <t>TC-002, TC-018</t>
        </is>
      </c>
      <c r="D9" s="33" t="inlineStr">
        <is>
          <t>a. Customer Account Creation</t>
        </is>
      </c>
      <c r="E9" s="33" t="inlineStr">
        <is>
          <t>US-CI-06</t>
        </is>
      </c>
    </row>
    <row r="10">
      <c r="A10" s="33" t="inlineStr">
        <is>
          <t>FR-05 / §5.1 #60</t>
        </is>
      </c>
      <c r="B10" s="33" t="inlineStr">
        <is>
          <t>Last Name required</t>
        </is>
      </c>
      <c r="C10" s="33" t="inlineStr">
        <is>
          <t>TC-003, TC-018</t>
        </is>
      </c>
      <c r="D10" s="33" t="inlineStr">
        <is>
          <t>a. Customer Account Creation</t>
        </is>
      </c>
      <c r="E10" s="33" t="inlineStr">
        <is>
          <t>US-CI-06</t>
        </is>
      </c>
    </row>
    <row r="11">
      <c r="A11" s="33" t="inlineStr">
        <is>
          <t>FR-06 / §5.1 #30</t>
        </is>
      </c>
      <c r="B11" s="33" t="inlineStr">
        <is>
          <t>Email required (not null)</t>
        </is>
      </c>
      <c r="C11" s="33" t="inlineStr">
        <is>
          <t>TC-004, TC-029</t>
        </is>
      </c>
      <c r="D11" s="33" t="inlineStr">
        <is>
          <t>a. Customer Account Creation</t>
        </is>
      </c>
      <c r="E11" s="33" t="inlineStr">
        <is>
          <t>US-CI-06</t>
        </is>
      </c>
    </row>
    <row r="12">
      <c r="A12" s="33" t="inlineStr">
        <is>
          <t>FR-07 / §5.1 #70</t>
        </is>
      </c>
      <c r="B12" s="33" t="inlineStr">
        <is>
          <t>Email format valid</t>
        </is>
      </c>
      <c r="C12" s="33" t="inlineStr">
        <is>
          <t>TC-005, TC-006, TC-019, TC-037</t>
        </is>
      </c>
      <c r="D12" s="33" t="inlineStr">
        <is>
          <t>a. Customer Account Creation</t>
        </is>
      </c>
      <c r="E12" s="33" t="inlineStr">
        <is>
          <t>US-CI-06</t>
        </is>
      </c>
    </row>
    <row r="13">
      <c r="A13" s="33" t="inlineStr">
        <is>
          <t>FR-08 / §5.1 #80</t>
        </is>
      </c>
      <c r="B13" s="33" t="inlineStr">
        <is>
          <t>Email unique within brand</t>
        </is>
      </c>
      <c r="C13" s="33" t="inlineStr">
        <is>
          <t>TC-020, TC-025, TC-026, TC-038</t>
        </is>
      </c>
      <c r="D13" s="33" t="inlineStr">
        <is>
          <t>a. Customer Account Creation</t>
        </is>
      </c>
      <c r="E13" s="33" t="inlineStr">
        <is>
          <t>US-CI-06</t>
        </is>
      </c>
    </row>
    <row r="14">
      <c r="A14" s="33" t="inlineStr">
        <is>
          <t>FR-09 / §5.1 #10</t>
        </is>
      </c>
      <c r="B14" s="33" t="inlineStr">
        <is>
          <t>Home Phone minimum 10 digits</t>
        </is>
      </c>
      <c r="C14" s="33" t="inlineStr">
        <is>
          <t>TC-011, TC-012, TC-013, TC-021, TC-039</t>
        </is>
      </c>
      <c r="D14" s="33" t="inlineStr">
        <is>
          <t>a. Customer Account Creation</t>
        </is>
      </c>
      <c r="E14" s="33" t="inlineStr">
        <is>
          <t>US-CI-06</t>
        </is>
      </c>
    </row>
    <row r="15">
      <c r="A15" s="33" t="inlineStr">
        <is>
          <t>FR-10 / §5.1 #20</t>
        </is>
      </c>
      <c r="B15" s="33" t="inlineStr">
        <is>
          <t>Mobile Phone minimum 10 digits</t>
        </is>
      </c>
      <c r="C15" s="33" t="inlineStr">
        <is>
          <t>TC-014, TC-015, TC-016, TC-039</t>
        </is>
      </c>
      <c r="D15" s="33" t="inlineStr">
        <is>
          <t>a. Customer Account Creation</t>
        </is>
      </c>
      <c r="E15" s="33" t="inlineStr">
        <is>
          <t>US-CI-06</t>
        </is>
      </c>
    </row>
    <row r="16">
      <c r="A16" s="33" t="inlineStr">
        <is>
          <t>FR-11 / §2</t>
        </is>
      </c>
      <c r="B16" s="33" t="inlineStr">
        <is>
          <t>Default Gender = Male</t>
        </is>
      </c>
      <c r="C16" s="33" t="inlineStr">
        <is>
          <t>TC-009, TC-022, TC-024</t>
        </is>
      </c>
      <c r="D16" s="33" t="inlineStr">
        <is>
          <t>a. Customer Account Creation</t>
        </is>
      </c>
      <c r="E16" s="33" t="inlineStr">
        <is>
          <t>US-CI-06</t>
        </is>
      </c>
    </row>
    <row r="17">
      <c r="A17" s="33" t="inlineStr">
        <is>
          <t>FR-12 / §2</t>
        </is>
      </c>
      <c r="B17" s="33" t="inlineStr">
        <is>
          <t>Default Country = United States of America</t>
        </is>
      </c>
      <c r="C17" s="33" t="inlineStr">
        <is>
          <t>TC-010, TC-023, TC-024</t>
        </is>
      </c>
      <c r="D17" s="33" t="inlineStr">
        <is>
          <t>a. Customer Account Creation</t>
        </is>
      </c>
      <c r="E17" s="33" t="inlineStr">
        <is>
          <t>US-CI-06</t>
        </is>
      </c>
    </row>
    <row r="18">
      <c r="A18" s="33" t="inlineStr">
        <is>
          <t>FR-13 / §5.1 #10/#20</t>
        </is>
      </c>
      <c r="B18" s="33" t="inlineStr">
        <is>
          <t>Phone number normalisation on Save</t>
        </is>
      </c>
      <c r="C18" s="33" t="inlineStr">
        <is>
          <t>TC-007, TC-027, TC-039</t>
        </is>
      </c>
      <c r="D18" s="33" t="inlineStr">
        <is>
          <t>a. Customer Account Creation</t>
        </is>
      </c>
      <c r="E18" s="33" t="inlineStr">
        <is>
          <t>US-CI-06</t>
        </is>
      </c>
    </row>
    <row r="19">
      <c r="A19" s="33" t="inlineStr">
        <is>
          <t>FR-14 / §5.1 #30</t>
        </is>
      </c>
      <c r="B19" s="33" t="inlineStr">
        <is>
          <t>Country-code normalisation on Save</t>
        </is>
      </c>
      <c r="C19" s="33" t="inlineStr">
        <is>
          <t>TC-010, TC-028</t>
        </is>
      </c>
      <c r="D19" s="33" t="inlineStr">
        <is>
          <t>a. Customer Account Creation</t>
        </is>
      </c>
      <c r="E19" s="33" t="inlineStr">
        <is>
          <t>US-CI-06</t>
        </is>
      </c>
    </row>
    <row r="20">
      <c r="A20" s="33" t="inlineStr">
        <is>
          <t>FR-15 / §5.1 #5/#8/#50/#60</t>
        </is>
      </c>
      <c r="B20" s="33" t="inlineStr">
        <is>
          <t>Save commit chain (brand, CustomerBrand, event, CurrentCustomerID)</t>
        </is>
      </c>
      <c r="C20" s="33" t="inlineStr">
        <is>
          <t>TC-030</t>
        </is>
      </c>
      <c r="D20" s="33" t="inlineStr">
        <is>
          <t>a. Customer Account Creation</t>
        </is>
      </c>
      <c r="E20" s="33" t="inlineStr">
        <is>
          <t>US-CI-06</t>
        </is>
      </c>
    </row>
    <row r="21">
      <c r="A21" s="33" t="inlineStr">
        <is>
          <t>FR-16 / §2 Action</t>
        </is>
      </c>
      <c r="B21" s="33" t="inlineStr">
        <is>
          <t>Save action creates the customer</t>
        </is>
      </c>
      <c r="C21" s="33" t="inlineStr">
        <is>
          <t>TC-001, TC-017, TC-040</t>
        </is>
      </c>
      <c r="D21" s="33" t="inlineStr">
        <is>
          <t>a. Customer Account Creation</t>
        </is>
      </c>
      <c r="E21" s="33" t="inlineStr">
        <is>
          <t>US-CI-06</t>
        </is>
      </c>
    </row>
    <row r="22">
      <c r="A22" s="33" t="inlineStr">
        <is>
          <t>FR-17 / §1.0</t>
        </is>
      </c>
      <c r="B22" s="33" t="inlineStr">
        <is>
          <t>Continue flow with new customer as current (scan/shop)</t>
        </is>
      </c>
      <c r="C22" s="33" t="inlineStr">
        <is>
          <t>TC-031, TC-032</t>
        </is>
      </c>
      <c r="D22" s="33" t="inlineStr">
        <is>
          <t>a. Customer Account Creation</t>
        </is>
      </c>
      <c r="E22" s="33" t="inlineStr">
        <is>
          <t>US-CI-05</t>
        </is>
      </c>
    </row>
    <row r="23">
      <c r="A23" s="33" t="inlineStr">
        <is>
          <t>FR-18 / R5</t>
        </is>
      </c>
      <c r="B23" s="33" t="inlineStr">
        <is>
          <t>Terms acceptance de-scoped (no Terms UI; Save not Terms-gated)</t>
        </is>
      </c>
      <c r="C23" s="33" t="inlineStr">
        <is>
          <t>TC-033, TC-034</t>
        </is>
      </c>
      <c r="D23" s="33" t="inlineStr">
        <is>
          <t>a. Customer Account Creation</t>
        </is>
      </c>
      <c r="E23" s="33" t="inlineStr">
        <is>
          <t>US-CI-06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7"/>
  <sheetViews>
    <sheetView tabSelected="1" workbookViewId="0">
      <pane ySplit="9" topLeftCell="A10" activePane="bottomLeft" state="frozen"/>
      <selection pane="bottomLeft" activeCell="B12" sqref="B12"/>
    </sheetView>
  </sheetViews>
  <sheetFormatPr baseColWidth="8" defaultRowHeight="14.3"/>
  <cols>
    <col width="16" customWidth="1" style="32" min="1" max="1"/>
    <col width="18" customWidth="1" style="32" min="2" max="2"/>
    <col width="55" customWidth="1" style="32" min="3" max="3"/>
    <col width="45" customWidth="1" style="32" min="4" max="4"/>
    <col width="16" customWidth="1" style="32" min="5" max="5"/>
    <col width="60" customWidth="1" style="32" min="6" max="6"/>
    <col width="45" customWidth="1" style="32" min="7" max="7"/>
    <col width="60" customWidth="1" style="32" min="8" max="8"/>
    <col width="30" customWidth="1" style="32" min="9" max="9"/>
    <col width="10" customWidth="1" style="32" min="10" max="10"/>
    <col width="12" customWidth="1" style="32" min="11" max="13"/>
    <col width="10" customWidth="1" style="32" min="14" max="14"/>
    <col width="12" customWidth="1" style="32" min="15" max="15"/>
  </cols>
  <sheetData>
    <row r="1">
      <c r="A1" s="1" t="inlineStr">
        <is>
          <t>Project task</t>
        </is>
      </c>
      <c r="B1" s="1" t="inlineStr">
        <is>
          <t>GPP Scan and Shop</t>
        </is>
      </c>
      <c r="E1" s="6" t="inlineStr">
        <is>
          <t>Total</t>
        </is>
      </c>
      <c r="F1" s="7">
        <f>SUM(F2:F4)</f>
        <v/>
      </c>
      <c r="G1" s="8">
        <f>F1/$F$1</f>
        <v/>
      </c>
      <c r="I1" s="1" t="inlineStr">
        <is>
          <t>Result</t>
        </is>
      </c>
      <c r="J1" s="1" t="n"/>
    </row>
    <row r="2">
      <c r="A2" s="1" t="inlineStr">
        <is>
          <t>Uploaded Date</t>
        </is>
      </c>
      <c r="B2" t="inlineStr">
        <is>
          <t>2026-07-28</t>
        </is>
      </c>
      <c r="E2" s="9" t="inlineStr">
        <is>
          <t>High</t>
        </is>
      </c>
      <c r="F2" s="10">
        <f>COUNTIF($J$5:$J$970,E2)</f>
        <v/>
      </c>
      <c r="G2" s="11">
        <f>F2/$F$1</f>
        <v/>
      </c>
      <c r="I2" s="12" t="inlineStr">
        <is>
          <t>Passed</t>
        </is>
      </c>
      <c r="J2" s="13">
        <f>COUNTIF($L:$L,I2)</f>
        <v/>
      </c>
    </row>
    <row r="3">
      <c r="E3" s="9" t="inlineStr">
        <is>
          <t>Medium</t>
        </is>
      </c>
      <c r="F3" s="10">
        <f>COUNTIF($J$5:$J$970,E3)</f>
        <v/>
      </c>
      <c r="G3" s="11">
        <f>F3/$F$1</f>
        <v/>
      </c>
      <c r="I3" s="12" t="inlineStr">
        <is>
          <t>Failed</t>
        </is>
      </c>
      <c r="J3" s="13">
        <f>COUNTIF($L:$L,I3)</f>
        <v/>
      </c>
    </row>
    <row r="4">
      <c r="E4" s="9" t="inlineStr">
        <is>
          <t>Low</t>
        </is>
      </c>
      <c r="F4" s="10">
        <f>COUNTIF($J$5:$J$970,E4)</f>
        <v/>
      </c>
      <c r="G4" s="11">
        <f>F4/$F$1</f>
        <v/>
      </c>
      <c r="I4" s="12" t="inlineStr">
        <is>
          <t>Pending</t>
        </is>
      </c>
      <c r="J4" s="13">
        <f>COUNTIF($L:$L,I4)</f>
        <v/>
      </c>
    </row>
    <row r="5">
      <c r="I5" s="12" t="inlineStr">
        <is>
          <t>Blocked</t>
        </is>
      </c>
      <c r="J5" s="13">
        <f>COUNTIF($L:$L,I5)</f>
        <v/>
      </c>
    </row>
    <row r="6">
      <c r="I6" s="14" t="inlineStr">
        <is>
          <t>Not test</t>
        </is>
      </c>
      <c r="J6" s="13">
        <f>COUNTIF($L:$L,I6)</f>
        <v/>
      </c>
    </row>
    <row r="7" ht="0.7" customHeight="1" s="32">
      <c r="I7" s="12" t="inlineStr">
        <is>
          <t>Total</t>
        </is>
      </c>
      <c r="J7" s="15">
        <f>SUM(J2:J6)</f>
        <v/>
      </c>
    </row>
    <row r="8">
      <c r="I8" s="20" t="n"/>
      <c r="J8" s="21" t="n"/>
    </row>
    <row r="9" ht="30.1" customHeight="1" s="32">
      <c r="A9" s="4" t="inlineStr">
        <is>
          <t>StoriesID</t>
        </is>
      </c>
      <c r="B9" s="4" t="inlineStr">
        <is>
          <t>Test cases ID</t>
        </is>
      </c>
      <c r="C9" s="4" t="inlineStr">
        <is>
          <t>Description</t>
        </is>
      </c>
      <c r="D9" s="4" t="inlineStr">
        <is>
          <t>Pre-Condition</t>
        </is>
      </c>
      <c r="E9" s="4" t="inlineStr">
        <is>
          <t>Browser</t>
        </is>
      </c>
      <c r="F9" s="4" t="inlineStr">
        <is>
          <t>Test Steps</t>
        </is>
      </c>
      <c r="G9" s="4" t="inlineStr">
        <is>
          <t>Test Data</t>
        </is>
      </c>
      <c r="H9" s="4" t="inlineStr">
        <is>
          <t>Expected Result</t>
        </is>
      </c>
      <c r="I9" s="4" t="inlineStr">
        <is>
          <t>Actual Result</t>
        </is>
      </c>
      <c r="J9" s="4" t="inlineStr">
        <is>
          <t>Priority</t>
        </is>
      </c>
      <c r="K9" s="4" t="inlineStr">
        <is>
          <t>PIC Test</t>
        </is>
      </c>
      <c r="L9" s="4" t="inlineStr">
        <is>
          <t>Status</t>
        </is>
      </c>
      <c r="M9" s="4" t="inlineStr">
        <is>
          <t>PIC Dev</t>
        </is>
      </c>
      <c r="N9" s="4" t="inlineStr">
        <is>
          <t>EVD</t>
        </is>
      </c>
      <c r="O9" s="4" t="inlineStr">
        <is>
          <t>Bug ID</t>
        </is>
      </c>
    </row>
    <row r="10" ht="21.9" customHeight="1" s="32">
      <c r="A10" s="31" t="inlineStr">
        <is>
          <t>Equivalence Partitioning — field partitions, defaults, uniqueness &amp; R5 checks</t>
        </is>
      </c>
    </row>
    <row r="11" ht="75.09999999999999" customHeight="1" s="32">
      <c r="A11" s="5" t="inlineStr">
        <is>
          <t>US-CI-06</t>
        </is>
      </c>
      <c r="B11" s="5" t="inlineStr">
        <is>
          <t>TC-001</t>
        </is>
      </c>
      <c r="C11" s="5" t="inlineStr">
        <is>
          <t>Create customer with all valid mandatory fields and default Gender/Country
Technique: Equivalence Partitioning
Req: US-CI-06; Customer Detail §2 (Controls), §5.1 (Save Customer Details); FR-16, FR-11, FR-12</t>
        </is>
      </c>
      <c r="D11" s="5" t="inlineStr">
        <is>
          <t>Account Creation form open in Insert mode with brand context set (AS-03). No existing customer with the test email in the current brand.</t>
        </is>
      </c>
      <c r="E11" s="5" t="inlineStr">
        <is>
          <t>Chrome (latest)</t>
        </is>
      </c>
      <c r="F11" s="5" t="inlineStr">
        <is>
          <t>1. Enter First and Last Name.
2. Enter a valid, brand-unique Email.
3. Leave Gender and Country at defaults.
4. Click Save.</t>
        </is>
      </c>
      <c r="G11" s="5" t="inlineStr">
        <is>
          <t>First Name = "John"; Last Name = "Miller"; Email = "john.miller@example.com"; Gender = Male (default); Country = United States of America (default); optional fields blank.</t>
        </is>
      </c>
      <c r="H11" s="5" t="inlineStr">
        <is>
          <t>All 8 validations pass; the Customer is committed and stamped to the current brand (BrandID = CurrentOrderBrandID); a CustomerBrand link is created; UserParam.CurrentCustomerID is set to the new customer and the flow continues with that customer selected (AS-07).</t>
        </is>
      </c>
      <c r="I11" s="5" t="n"/>
      <c r="J11" s="5" t="inlineStr">
        <is>
          <t>High</t>
        </is>
      </c>
      <c r="K11" s="5" t="n"/>
      <c r="L11" s="5" t="n"/>
      <c r="M11" s="5" t="n"/>
      <c r="N11" s="5" t="n"/>
      <c r="O11" s="5" t="n"/>
    </row>
    <row r="12" ht="75.09999999999999" customHeight="1" s="32">
      <c r="A12" s="5" t="inlineStr">
        <is>
          <t>US-CI-06</t>
        </is>
      </c>
      <c r="B12" s="5" t="inlineStr">
        <is>
          <t>TC-002</t>
        </is>
      </c>
      <c r="C12" s="5" t="inlineStr">
        <is>
          <t>Reject creation when First Name is empty
Technique: Equivalence Partitioning
Req: Customer Detail §5.1 validation #50 "First Name Missing"; FR-04</t>
        </is>
      </c>
      <c r="D12" s="5" t="inlineStr">
        <is>
          <t>Account Creation form open in Insert mode (AS-03).</t>
        </is>
      </c>
      <c r="E12" s="5" t="inlineStr">
        <is>
          <t>Chrome (latest)</t>
        </is>
      </c>
      <c r="F12" s="5" t="inlineStr">
        <is>
          <t>1. Leave First Name empty.
2. Enter a valid Last Name and Email.
3. Click Save.</t>
        </is>
      </c>
      <c r="G12" s="5" t="inlineStr">
        <is>
          <t>First Name = "" (empty); Last Name = "Miller"; Email = "john.miller@example.com".</t>
        </is>
      </c>
      <c r="H12" s="5" t="inlineStr">
        <is>
          <t>Save is blocked by validation #50 "First Name Missing"; no customer is created; the user remains on the form (message text unspecified — RG-05).</t>
        </is>
      </c>
      <c r="I12" s="5" t="n"/>
      <c r="J12" s="5" t="inlineStr">
        <is>
          <t>High</t>
        </is>
      </c>
      <c r="K12" s="5" t="n"/>
      <c r="L12" s="5" t="n"/>
      <c r="M12" s="5" t="n"/>
      <c r="N12" s="5" t="n"/>
      <c r="O12" s="5" t="n"/>
    </row>
    <row r="13" ht="75.09999999999999" customHeight="1" s="32">
      <c r="A13" s="5" t="inlineStr">
        <is>
          <t>US-CI-06</t>
        </is>
      </c>
      <c r="B13" s="5" t="inlineStr">
        <is>
          <t>TC-003</t>
        </is>
      </c>
      <c r="C13" s="5" t="inlineStr">
        <is>
          <t>Reject creation when Last Name is empty
Technique: Equivalence Partitioning
Req: Customer Detail §5.1 validation #60 "Last Name Missing"; FR-05</t>
        </is>
      </c>
      <c r="D13" s="5" t="inlineStr">
        <is>
          <t>Account Creation form open in Insert mode (AS-03).</t>
        </is>
      </c>
      <c r="E13" s="5" t="inlineStr">
        <is>
          <t>Chrome (latest)</t>
        </is>
      </c>
      <c r="F13" s="5" t="inlineStr">
        <is>
          <t>1. Enter a valid First Name and Email.
2. Leave Last Name empty.
3. Click Save.</t>
        </is>
      </c>
      <c r="G13" s="5" t="inlineStr">
        <is>
          <t>First Name = "John"; Last Name = "" (empty); Email = "john.miller@example.com".</t>
        </is>
      </c>
      <c r="H13" s="5" t="inlineStr">
        <is>
          <t>Save is blocked by validation #60 "Last Name Missing"; no customer is created; the user remains on the form.</t>
        </is>
      </c>
      <c r="I13" s="5" t="n"/>
      <c r="J13" s="5" t="inlineStr">
        <is>
          <t>High</t>
        </is>
      </c>
      <c r="K13" s="5" t="n"/>
      <c r="L13" s="5" t="n"/>
      <c r="M13" s="5" t="n"/>
      <c r="N13" s="5" t="n"/>
      <c r="O13" s="5" t="n"/>
    </row>
    <row r="14" ht="75.09999999999999" customHeight="1" s="32">
      <c r="A14" s="5" t="inlineStr">
        <is>
          <t>US-CI-06</t>
        </is>
      </c>
      <c r="B14" s="5" t="inlineStr">
        <is>
          <t>TC-004</t>
        </is>
      </c>
      <c r="C14" s="5" t="inlineStr">
        <is>
          <t>Reject creation when Email is empty (Email required)
Technique: Equivalence Partitioning
Req: Customer Detail §5.1 validation #30 "Email Address IS NULL"; FR-06</t>
        </is>
      </c>
      <c r="D14" s="5" t="inlineStr">
        <is>
          <t>Account Creation form open in Insert mode (AS-03).</t>
        </is>
      </c>
      <c r="E14" s="5" t="inlineStr">
        <is>
          <t>Chrome (latest)</t>
        </is>
      </c>
      <c r="F14" s="5" t="inlineStr">
        <is>
          <t>1. Enter valid First and Last Name.
2. Leave Email empty.
3. Click Save.</t>
        </is>
      </c>
      <c r="G14" s="5" t="inlineStr">
        <is>
          <t>First Name = "John"; Last Name = "Miller"; Email = "" (empty).</t>
        </is>
      </c>
      <c r="H14" s="5" t="inlineStr">
        <is>
          <t>Save is blocked by validation #30 "Email Address IS NULL"; no customer is created; the user remains on the form.</t>
        </is>
      </c>
      <c r="I14" s="5" t="n"/>
      <c r="J14" s="5" t="inlineStr">
        <is>
          <t>High</t>
        </is>
      </c>
      <c r="K14" s="5" t="n"/>
      <c r="L14" s="5" t="n"/>
      <c r="M14" s="5" t="n"/>
      <c r="N14" s="5" t="n"/>
      <c r="O14" s="5" t="n"/>
    </row>
    <row r="15" ht="75.09999999999999" customHeight="1" s="32">
      <c r="A15" s="5" t="inlineStr">
        <is>
          <t>US-CI-06</t>
        </is>
      </c>
      <c r="B15" s="5" t="inlineStr">
        <is>
          <t>TC-005</t>
        </is>
      </c>
      <c r="C15" s="5" t="inlineStr">
        <is>
          <t>Reject creation when Email format is invalid
Technique: Equivalence Partitioning
Req: Customer Detail §5.1 validation #70 "email address format"; FR-07</t>
        </is>
      </c>
      <c r="D15" s="5" t="inlineStr">
        <is>
          <t>Account Creation form open in Insert mode (AS-03).</t>
        </is>
      </c>
      <c r="E15" s="5" t="inlineStr">
        <is>
          <t>Chrome (latest)</t>
        </is>
      </c>
      <c r="F15" s="5" t="inlineStr">
        <is>
          <t>1. Enter valid First and Last Name.
2. Enter an Email that does not match a valid structure.
3. Click Save.</t>
        </is>
      </c>
      <c r="G15" s="5" t="inlineStr">
        <is>
          <t>First Name = "John"; Last Name = "Miller"; Email = "john.miller.example.com" (no @, invalid-format partition per AS-04).</t>
        </is>
      </c>
      <c r="H15" s="5" t="inlineStr">
        <is>
          <t>Save is blocked by validation #70 "email address format"; no customer is created; the user remains on the form.</t>
        </is>
      </c>
      <c r="I15" s="5" t="n"/>
      <c r="J15" s="5" t="inlineStr">
        <is>
          <t>High</t>
        </is>
      </c>
      <c r="K15" s="5" t="n"/>
      <c r="L15" s="5" t="n"/>
      <c r="M15" s="5" t="n"/>
      <c r="N15" s="34" t="n"/>
      <c r="O15" s="5" t="n"/>
    </row>
    <row r="16" ht="75.09999999999999" customHeight="1" s="32">
      <c r="A16" s="5" t="inlineStr">
        <is>
          <t>US-CI-06</t>
        </is>
      </c>
      <c r="B16" s="5" t="inlineStr">
        <is>
          <t>TC-006</t>
        </is>
      </c>
      <c r="C16" s="5" t="inlineStr">
        <is>
          <t>Accept a representative valid Email (valid-format partition)
Technique: Equivalence Partitioning
Req: Customer Detail §5.1 validations #30, #70; FR-07</t>
        </is>
      </c>
      <c r="D16" s="5" t="inlineStr">
        <is>
          <t>Account Creation form open in Insert mode (AS-03); email not already used in the current brand.</t>
        </is>
      </c>
      <c r="E16" s="5" t="inlineStr">
        <is>
          <t>Chrome (latest)</t>
        </is>
      </c>
      <c r="F16" s="5" t="inlineStr">
        <is>
          <t>1. Enter valid First and Last Name.
2. Enter a well-formed, brand-unique Email.
3. Click Save.</t>
        </is>
      </c>
      <c r="G16" s="5" t="inlineStr">
        <is>
          <t>First Name = "Amara"; Last Name = "Okafor"; Email = "amara.okafor@sub.example.co".</t>
        </is>
      </c>
      <c r="H16" s="5" t="inlineStr">
        <is>
          <t>Format (#70) and null (#30) checks pass; the customer is created and stamped to the brand (subject to RG-09 on the exact format definition).</t>
        </is>
      </c>
      <c r="I16" s="5" t="n"/>
      <c r="J16" s="5" t="inlineStr">
        <is>
          <t>Medium</t>
        </is>
      </c>
      <c r="K16" s="5" t="n"/>
      <c r="L16" s="5" t="n"/>
      <c r="M16" s="5" t="n"/>
      <c r="N16" s="5" t="n"/>
      <c r="O16" s="5" t="n"/>
    </row>
    <row r="17" ht="75.09999999999999" customHeight="1" s="32">
      <c r="A17" s="5" t="inlineStr">
        <is>
          <t>US-CI-06</t>
        </is>
      </c>
      <c r="B17" s="5" t="inlineStr">
        <is>
          <t>TC-007</t>
        </is>
      </c>
      <c r="C17" s="5" t="inlineStr">
        <is>
          <t>Create customer with all optional fields populated with valid data
Technique: Equivalence Partitioning
Req: Customer Detail §2 (optional Contact/Address fields), §5.1 actions #10/#20/#30; FR-02, FR-03, FR-13</t>
        </is>
      </c>
      <c r="D17" s="5" t="inlineStr">
        <is>
          <t>Account Creation form open in Insert mode (AS-03).</t>
        </is>
      </c>
      <c r="E17" s="5" t="inlineStr">
        <is>
          <t>Chrome (latest)</t>
        </is>
      </c>
      <c r="F17" s="5" t="inlineStr">
        <is>
          <t>1. Enter all mandatory fields.
2. Populate every optional field with valid values (phones with 10 digits).
3. Click Save.</t>
        </is>
      </c>
      <c r="G17" s="5" t="inlineStr">
        <is>
          <t>Mandatory: First = "Lee", Last = "Tran", Email = "lee.tran@example.com". Optional: Title = "Mr"; Home Phone = "2025550100"; Mobile Country Code = "+1"; Mobile Phone = "2025550111"; Address = "10 Main St"; City = "Austin"; State = "TX"; Postal Code = "78701"; Country = United States of America.</t>
        </is>
      </c>
      <c r="H17" s="5" t="inlineStr">
        <is>
          <t>All validations pass; the customer is created with contact and address details persisted; phones and country code are normalised on Save (actions #10, #20, #30).</t>
        </is>
      </c>
      <c r="I17" s="5" t="n"/>
      <c r="J17" s="5" t="inlineStr">
        <is>
          <t>Medium</t>
        </is>
      </c>
      <c r="K17" s="5" t="n"/>
      <c r="L17" s="5" t="n"/>
      <c r="M17" s="5" t="n"/>
      <c r="N17" s="5" t="n"/>
      <c r="O17" s="5" t="n"/>
    </row>
    <row r="18" ht="75.09999999999999" customHeight="1" s="32">
      <c r="A18" s="5" t="inlineStr">
        <is>
          <t>US-CI-06</t>
        </is>
      </c>
      <c r="B18" s="5" t="inlineStr">
        <is>
          <t>TC-008</t>
        </is>
      </c>
      <c r="C18" s="5" t="inlineStr">
        <is>
          <t>Create customer with only mandatory fields (all optional fields blank)
Technique: Equivalence Partitioning
Req: Customer Detail §2 (optional fields); AS-02; FR-02, FR-03</t>
        </is>
      </c>
      <c r="D18" s="5" t="inlineStr">
        <is>
          <t>Account Creation form open in Insert mode (AS-03); phone minimum-digit rule assumed to apply only when a value is entered (AS-02, RG-03).</t>
        </is>
      </c>
      <c r="E18" s="5" t="inlineStr">
        <is>
          <t>Chrome (latest)</t>
        </is>
      </c>
      <c r="F18" s="5" t="inlineStr">
        <is>
          <t>1. Enter only the mandatory fields.
2. Leave Title, all phones, and all address fields blank.
3. Click Save.</t>
        </is>
      </c>
      <c r="G18" s="5" t="inlineStr">
        <is>
          <t>First = "Nina"; Last = "Roy"; Email = "nina.roy@example.com"; all optional fields blank; Gender/Country at defaults.</t>
        </is>
      </c>
      <c r="H18" s="5" t="inlineStr">
        <is>
          <t>Save succeeds; empty optional phone fields do not trigger the minimum-10-digit validations (AS-02); the customer is created and set as current.</t>
        </is>
      </c>
      <c r="I18" s="5" t="n"/>
      <c r="J18" s="5" t="inlineStr">
        <is>
          <t>Medium</t>
        </is>
      </c>
      <c r="K18" s="5" t="n"/>
      <c r="L18" s="5" t="n"/>
      <c r="M18" s="5" t="n"/>
      <c r="N18" s="34" t="n"/>
      <c r="O18" s="5" t="n"/>
    </row>
    <row r="19" ht="75.09999999999999" customHeight="1" s="32">
      <c r="A19" s="5" t="inlineStr">
        <is>
          <t>US-CI-06</t>
        </is>
      </c>
      <c r="B19" s="5" t="inlineStr">
        <is>
          <t>TC-009</t>
        </is>
      </c>
      <c r="C19" s="5" t="inlineStr">
        <is>
          <t>Create customer with a non-default valid Gender value
Technique: Equivalence Partitioning
Req: Customer Detail §2 (Gender, default Male); FR-11; RG-08</t>
        </is>
      </c>
      <c r="D19" s="5" t="inlineStr">
        <is>
          <t>Account Creation form open in Insert mode (AS-03); a non-default Gender value is available from Global Configuration (RG-08).</t>
        </is>
      </c>
      <c r="E19" s="5" t="inlineStr">
        <is>
          <t>Chrome (latest)</t>
        </is>
      </c>
      <c r="F19" s="5" t="inlineStr">
        <is>
          <t>1. Enter mandatory fields.
2. Change Gender from the default Male to another valid value.
3. Click Save.</t>
        </is>
      </c>
      <c r="G19" s="5" t="inlineStr">
        <is>
          <t>First = "Sara"; Last = "Kim"; Email = "sara.kim@example.com"; Gender = a valid non-default value (e.g., Female).</t>
        </is>
      </c>
      <c r="H19" s="5" t="inlineStr">
        <is>
          <t>The selected Gender is accepted and persisted with the created customer (dependent on RG-08 for the valid value set).</t>
        </is>
      </c>
      <c r="I19" s="5" t="n"/>
      <c r="J19" s="5" t="inlineStr">
        <is>
          <t>Medium</t>
        </is>
      </c>
      <c r="K19" s="5" t="n"/>
      <c r="L19" s="5" t="n"/>
      <c r="M19" s="5" t="n"/>
      <c r="N19" s="5" t="n"/>
      <c r="O19" s="5" t="n"/>
    </row>
    <row r="20" ht="75.09999999999999" customHeight="1" s="32">
      <c r="A20" s="5" t="inlineStr">
        <is>
          <t>US-CI-06</t>
        </is>
      </c>
      <c r="B20" s="5" t="inlineStr">
        <is>
          <t>TC-010</t>
        </is>
      </c>
      <c r="C20" s="5" t="inlineStr">
        <is>
          <t>Create customer with a non-default valid Country value
Technique: Equivalence Partitioning
Req: Customer Detail §2 (Country, default USA), §5.1 action #30; FR-12, FR-14; RG-08</t>
        </is>
      </c>
      <c r="D20" s="5" t="inlineStr">
        <is>
          <t>Account Creation form open in Insert mode (AS-03); Country list available (Rest Countries; RG-08).</t>
        </is>
      </c>
      <c r="E20" s="5" t="inlineStr">
        <is>
          <t>Chrome (latest)</t>
        </is>
      </c>
      <c r="F20" s="5" t="inlineStr">
        <is>
          <t>1. Enter mandatory fields.
2. Change Country from the default United States of America to another valid country.
3. Click Save.</t>
        </is>
      </c>
      <c r="G20" s="5" t="inlineStr">
        <is>
          <t>First = "Diego"; Last = "Alvarez"; Email = "diego.alvarez@example.com"; Country = a valid non-default value (e.g., Canada).</t>
        </is>
      </c>
      <c r="H20" s="5" t="inlineStr">
        <is>
          <t>The selected Country is accepted and persisted; the country-code normalisation action (#30) applies the corresponding brand/country code.</t>
        </is>
      </c>
      <c r="I20" s="5" t="n"/>
      <c r="J20" s="5" t="inlineStr">
        <is>
          <t>Medium</t>
        </is>
      </c>
      <c r="K20" s="5" t="n"/>
      <c r="L20" s="5" t="n"/>
      <c r="M20" s="5" t="n"/>
      <c r="N20" s="5" t="n"/>
      <c r="O20" s="5" t="n"/>
    </row>
    <row r="21" ht="75.09999999999999" customHeight="1" s="32">
      <c r="A21" s="5" t="inlineStr">
        <is>
          <t>US-CI-06</t>
        </is>
      </c>
      <c r="B21" s="5" t="inlineStr">
        <is>
          <t>TC-022</t>
        </is>
      </c>
      <c r="C21" s="5" t="inlineStr">
        <is>
          <t>Gender defaults to Male on form open
Technique: Equivalence Partitioning
Req: Customer Detail §2 (Gender default = Male); FR-11</t>
        </is>
      </c>
      <c r="D21" s="5" t="inlineStr">
        <is>
          <t>Account Creation form freshly opened in Insert mode (AS-03).</t>
        </is>
      </c>
      <c r="E21" s="5" t="inlineStr">
        <is>
          <t>Chrome (latest)</t>
        </is>
      </c>
      <c r="F21" s="5" t="inlineStr">
        <is>
          <t>1. Open the Account Creation form.
2. Observe the Gender field before any input.</t>
        </is>
      </c>
      <c r="G21" s="5" t="inlineStr">
        <is>
          <t>None (observe default state).</t>
        </is>
      </c>
      <c r="H21" s="5" t="inlineStr">
        <is>
          <t>Gender is pre-selected as Male by default (§2).</t>
        </is>
      </c>
      <c r="I21" s="5" t="n"/>
      <c r="J21" s="5" t="inlineStr">
        <is>
          <t>Medium</t>
        </is>
      </c>
      <c r="K21" s="5" t="n"/>
      <c r="L21" s="5" t="n"/>
      <c r="M21" s="5" t="n"/>
      <c r="N21" s="5" t="n"/>
      <c r="O21" s="5" t="n"/>
    </row>
    <row r="22" ht="75.09999999999999" customHeight="1" s="32">
      <c r="A22" s="5" t="inlineStr">
        <is>
          <t>US-CI-06</t>
        </is>
      </c>
      <c r="B22" s="5" t="inlineStr">
        <is>
          <t>TC-023</t>
        </is>
      </c>
      <c r="C22" s="5" t="inlineStr">
        <is>
          <t>Country defaults to United States of America on form open
Technique: Equivalence Partitioning
Req: Customer Detail §2 (Country default = United States of America); FR-12</t>
        </is>
      </c>
      <c r="D22" s="5" t="inlineStr">
        <is>
          <t>Account Creation form freshly opened in Insert mode (AS-03).</t>
        </is>
      </c>
      <c r="E22" s="5" t="inlineStr">
        <is>
          <t>Chrome (latest)</t>
        </is>
      </c>
      <c r="F22" s="5" t="inlineStr">
        <is>
          <t>1. Open the Account Creation form.
2. Observe the Country field before any input.</t>
        </is>
      </c>
      <c r="G22" s="5" t="inlineStr">
        <is>
          <t>None (observe default state).</t>
        </is>
      </c>
      <c r="H22" s="5" t="inlineStr">
        <is>
          <t>Country is pre-selected as United States of America by default (§2).</t>
        </is>
      </c>
      <c r="I22" s="5" t="n"/>
      <c r="J22" s="5" t="inlineStr">
        <is>
          <t>Medium</t>
        </is>
      </c>
      <c r="K22" s="5" t="n"/>
      <c r="L22" s="5" t="n"/>
      <c r="M22" s="5" t="n"/>
      <c r="N22" s="5" t="n"/>
      <c r="O22" s="5" t="n"/>
    </row>
    <row r="23" ht="75.09999999999999" customHeight="1" s="32">
      <c r="A23" s="5" t="inlineStr">
        <is>
          <t>US-CI-06</t>
        </is>
      </c>
      <c r="B23" s="5" t="inlineStr">
        <is>
          <t>TC-024</t>
        </is>
      </c>
      <c r="C23" s="5" t="inlineStr">
        <is>
          <t>Save with defaults unchanged persists Male and United States of America
Technique: Equivalence Partitioning
Req: Customer Detail §2 (defaults); FR-11, FR-12</t>
        </is>
      </c>
      <c r="D23" s="5" t="inlineStr">
        <is>
          <t>Account Creation form open in Insert mode (AS-03).</t>
        </is>
      </c>
      <c r="E23" s="5" t="inlineStr">
        <is>
          <t>Chrome (latest)</t>
        </is>
      </c>
      <c r="F23" s="5" t="inlineStr">
        <is>
          <t>1. Enter mandatory fields only.
2. Do not change Gender or Country.
3. Click Save.</t>
        </is>
      </c>
      <c r="G23" s="5" t="inlineStr">
        <is>
          <t>First = "Grace"; Last = "Hall"; Email = "grace.hall@example.com"; Gender and Country left at defaults.</t>
        </is>
      </c>
      <c r="H23" s="5" t="inlineStr">
        <is>
          <t>The customer is created with Gender = Male and Country = United States of America persisted from the defaults.</t>
        </is>
      </c>
      <c r="I23" s="5" t="n"/>
      <c r="J23" s="5" t="inlineStr">
        <is>
          <t>Medium</t>
        </is>
      </c>
      <c r="K23" s="5" t="n"/>
      <c r="L23" s="5" t="n"/>
      <c r="M23" s="5" t="n"/>
      <c r="N23" s="5" t="n"/>
      <c r="O23" s="5" t="n"/>
    </row>
    <row r="24" ht="75.09999999999999" customHeight="1" s="32">
      <c r="A24" s="5" t="inlineStr">
        <is>
          <t>US-CI-06</t>
        </is>
      </c>
      <c r="B24" s="5" t="inlineStr">
        <is>
          <t>TC-025</t>
        </is>
      </c>
      <c r="C24" s="5" t="inlineStr">
        <is>
          <t>Duplicate email within the same brand is rejected
Technique: Equivalence Partitioning
Req: Customer Detail §5.1 validation #80; FR-08</t>
        </is>
      </c>
      <c r="D24" s="5" t="inlineStr">
        <is>
          <t>Account Creation form open in Insert mode (AS-03). An email E already exists for a customer in the current brand.</t>
        </is>
      </c>
      <c r="E24" s="5" t="inlineStr">
        <is>
          <t>Chrome (latest)</t>
        </is>
      </c>
      <c r="F24" s="5" t="inlineStr">
        <is>
          <t>1. Enter valid names.
2. Enter email E already used in this brand.
3. Click Save.</t>
        </is>
      </c>
      <c r="G24" s="5" t="inlineStr">
        <is>
          <t>First = "Paul"; Last = "Reed"; Email = E (duplicate in current brand).</t>
        </is>
      </c>
      <c r="H24" s="5" t="inlineStr">
        <is>
          <t>Validation #80 blocks Save; no second customer with email E is created in this brand.</t>
        </is>
      </c>
      <c r="I24" s="5" t="n"/>
      <c r="J24" s="5" t="inlineStr">
        <is>
          <t>High</t>
        </is>
      </c>
      <c r="K24" s="5" t="n"/>
      <c r="L24" s="5" t="n"/>
      <c r="M24" s="5" t="n"/>
      <c r="N24" s="5" t="n"/>
      <c r="O24" s="5" t="n"/>
    </row>
    <row r="25" ht="75.09999999999999" customHeight="1" s="32">
      <c r="A25" s="5" t="inlineStr">
        <is>
          <t>US-CI-06</t>
        </is>
      </c>
      <c r="B25" s="5" t="inlineStr">
        <is>
          <t>TC-026</t>
        </is>
      </c>
      <c r="C25" s="5" t="inlineStr">
        <is>
          <t>Same email under a different brand is allowed (brand-scoped uniqueness)
Technique: Equivalence Partitioning
Req: Customer Detail §5.1 validation #80, §3.1 (WHERE C.BrandID = CurrentOrderBrandID); FR-08; AS-05</t>
        </is>
      </c>
      <c r="D25" s="5" t="inlineStr">
        <is>
          <t>Email E exists for a customer under Brand A. The current order brand context is Brand B (AS-05). Form open in Insert mode for Brand B.</t>
        </is>
      </c>
      <c r="E25" s="5" t="inlineStr">
        <is>
          <t>Chrome (latest)</t>
        </is>
      </c>
      <c r="F25" s="5" t="inlineStr">
        <is>
          <t>1. Confirm the current order brand is Brand B (different from where E exists).
2. Enter valid names and email E.
3. Click Save.</t>
        </is>
      </c>
      <c r="G25" s="5" t="inlineStr">
        <is>
          <t>First = "Paul"; Last = "Reed"; Email = E; current brand = Brand B.</t>
        </is>
      </c>
      <c r="H25" s="5" t="inlineStr">
        <is>
          <t>Save succeeds; the duplicate-email validation is brand-scoped, so E may exist once per brand. Re-baseline if RG-13 clarification changes uniqueness scope.</t>
        </is>
      </c>
      <c r="I25" s="5" t="n"/>
      <c r="J25" s="5" t="inlineStr">
        <is>
          <t>Medium</t>
        </is>
      </c>
      <c r="K25" s="5" t="n"/>
      <c r="L25" s="5" t="n"/>
      <c r="M25" s="5" t="n"/>
      <c r="N25" s="5" t="n"/>
      <c r="O25" s="5" t="n"/>
    </row>
    <row r="26" ht="75.09999999999999" customHeight="1" s="32">
      <c r="A26" s="5" t="inlineStr">
        <is>
          <t>US-CI-06</t>
        </is>
      </c>
      <c r="B26" s="5" t="inlineStr">
        <is>
          <t>TC-027</t>
        </is>
      </c>
      <c r="C26" s="5" t="inlineStr">
        <is>
          <t>Mobile phone is normalised to the "(xxx) xxx-xxxx" format after Save
Technique: Equivalence Partitioning
Req: Customer Detail §5.1 action #20, §3.1 FormattedCellPhone; FR-13</t>
        </is>
      </c>
      <c r="D26" s="5" t="inlineStr">
        <is>
          <t>Account Creation form open in Insert mode (AS-03); normalisation expectation per AS-06.</t>
        </is>
      </c>
      <c r="E26" s="5" t="inlineStr">
        <is>
          <t>Chrome (latest)</t>
        </is>
      </c>
      <c r="F26" s="5" t="inlineStr">
        <is>
          <t>1. Enter mandatory fields and an unformatted 10-digit Mobile Phone.
2. Click Save.
3. Re-open/inspect the created customer's cell phone value.</t>
        </is>
      </c>
      <c r="G26" s="5" t="inlineStr">
        <is>
          <t>First = "Ivy"; Last = "Cole"; Email = "ivy.cole@example.com"; Mobile Phone entered as "2025550111" (unformatted 10 digits).</t>
        </is>
      </c>
      <c r="H26" s="5" t="inlineStr">
        <is>
          <t>Action #20 normalises the number; the stored/displayed cell phone renders as "(202) 555-0111" per the §3.1 formatting expression (AS-06).</t>
        </is>
      </c>
      <c r="I26" s="5" t="n"/>
      <c r="J26" s="5" t="inlineStr">
        <is>
          <t>Medium</t>
        </is>
      </c>
      <c r="K26" s="5" t="n"/>
      <c r="L26" s="5" t="n"/>
      <c r="M26" s="5" t="n"/>
      <c r="N26" s="5" t="n"/>
      <c r="O26" s="5" t="n"/>
    </row>
    <row r="27" ht="75.09999999999999" customHeight="1" s="32">
      <c r="A27" s="5" t="inlineStr">
        <is>
          <t>US-CI-06</t>
        </is>
      </c>
      <c r="B27" s="5" t="inlineStr">
        <is>
          <t>TC-028</t>
        </is>
      </c>
      <c r="C27" s="5" t="inlineStr">
        <is>
          <t>Country code is normalised from the brand/country on Save
Technique: Equivalence Partitioning
Req: Customer Detail §5.1 action #30 "Update CountryCode from CountryCodeCustomer Brand"; FR-14</t>
        </is>
      </c>
      <c r="D27" s="5" t="inlineStr">
        <is>
          <t>Account Creation form open in Insert mode (AS-03).</t>
        </is>
      </c>
      <c r="E27" s="5" t="inlineStr">
        <is>
          <t>Chrome (latest)</t>
        </is>
      </c>
      <c r="F27" s="5" t="inlineStr">
        <is>
          <t>1. Enter mandatory fields; leave Mobile Country Code blank.
2. Click Save.
3. Inspect the stored country/phone country code.</t>
        </is>
      </c>
      <c r="G27" s="5" t="inlineStr">
        <is>
          <t>First = "Ivy"; Last = "Cole"; Email = "ivy.cole2@example.com"; Country = United States of America; Mobile Country Code left blank.</t>
        </is>
      </c>
      <c r="H27" s="5" t="inlineStr">
        <is>
          <t>Action #30 applies the correct country code derived from the brand/country; the created record carries a normalised country code.</t>
        </is>
      </c>
      <c r="I27" s="5" t="n"/>
      <c r="J27" s="5" t="inlineStr">
        <is>
          <t>Low</t>
        </is>
      </c>
      <c r="K27" s="5" t="n"/>
      <c r="L27" s="5" t="n"/>
      <c r="M27" s="5" t="n"/>
      <c r="N27" s="5" t="n"/>
      <c r="O27" s="5" t="n"/>
    </row>
    <row r="28" ht="75.09999999999999" customFormat="1" customHeight="1" s="19">
      <c r="A28" s="5" t="inlineStr">
        <is>
          <t>US-CI-06</t>
        </is>
      </c>
      <c r="B28" s="5" t="inlineStr">
        <is>
          <t>TC-033</t>
        </is>
      </c>
      <c r="C28" s="5" t="inlineStr">
        <is>
          <t>R5 verification — the embedded Store Terms section and Privacy Policy link are NOT present
Technique: Equivalence Partitioning
Req: Overview R5; Customer Detail §2 (Terms row removed), §5.1 validation #40 removed; FR-18; RG-01</t>
        </is>
      </c>
      <c r="D28" s="5" t="inlineStr">
        <is>
          <t>Account Creation form open in Insert mode (AS-03). Verifies the R5 de-scope; directly addresses RG-01.</t>
        </is>
      </c>
      <c r="E28" s="5" t="inlineStr">
        <is>
          <t>Chrome (latest)</t>
        </is>
      </c>
      <c r="F28" s="5" t="inlineStr">
        <is>
          <t>1. Open the Account Creation form.
2. Inspect for an embedded "{Brand} Store Terms" block, a Privacy Policy link, and any accept-terms control.</t>
        </is>
      </c>
      <c r="G28" s="5" t="inlineStr">
        <is>
          <t>None (UI inspection).</t>
        </is>
      </c>
      <c r="H28" s="5" t="inlineStr">
        <is>
          <t>No Store Terms block, Privacy Policy link, or acceptance control is present, consistent with R5. If any Terms UI appears, raise a defect/clarification against RG-01 (feature-vs-BRD conflict).</t>
        </is>
      </c>
      <c r="I28" s="5" t="n"/>
      <c r="J28" s="5" t="inlineStr">
        <is>
          <t>High</t>
        </is>
      </c>
      <c r="K28" s="5" t="n"/>
      <c r="L28" s="5" t="n"/>
      <c r="M28" s="5" t="n"/>
      <c r="N28" s="5" t="n"/>
      <c r="O28" s="5" t="n"/>
    </row>
    <row r="29" ht="75.09999999999999" customFormat="1" customHeight="1" s="19">
      <c r="A29" s="5" t="inlineStr">
        <is>
          <t>US-CI-06</t>
        </is>
      </c>
      <c r="B29" s="5" t="inlineStr">
        <is>
          <t>TC-034</t>
        </is>
      </c>
      <c r="C29" s="5" t="inlineStr">
        <is>
          <t>R5 verification — Save is NOT gated by Terms acceptance
Technique: Equivalence Partitioning
Req: Overview R5; Customer Detail §5.1 validation #40 removed; FR-18; RG-01, RG-02</t>
        </is>
      </c>
      <c r="D29" s="5" t="inlineStr">
        <is>
          <t>Account Creation form open in Insert mode (AS-03). Addresses RG-01/RG-02 (feature claims Save is Terms-gated; BRD removes the gate).</t>
        </is>
      </c>
      <c r="E29" s="5" t="inlineStr">
        <is>
          <t>Chrome (latest)</t>
        </is>
      </c>
      <c r="F29" s="5" t="inlineStr">
        <is>
          <t>1. Enter only the mandatory contact fields.
2. Without accepting any Terms (none should exist), click Save.</t>
        </is>
      </c>
      <c r="G29" s="5" t="inlineStr">
        <is>
          <t>First = "Ada"; Last = "Nash"; Email = "ada.nash@example.com"; no terms interaction available/performed.</t>
        </is>
      </c>
      <c r="H29" s="5" t="inlineStr">
        <is>
          <t>Save proceeds and creates the customer using only the documented validations (#10, #20, #30, #50, #60, #70, #80); no IsTermsAccepted validation (#40) blocks Save. Any Terms-based blocking indicates the feature-vs-BRD conflict (RG-01).</t>
        </is>
      </c>
      <c r="I29" s="5" t="n"/>
      <c r="J29" s="5" t="inlineStr">
        <is>
          <t>High</t>
        </is>
      </c>
      <c r="K29" s="5" t="n"/>
      <c r="L29" s="5" t="n"/>
      <c r="M29" s="5" t="n"/>
      <c r="N29" s="5" t="n"/>
      <c r="O29" s="5" t="n"/>
    </row>
    <row r="30" ht="21.9" customFormat="1" customHeight="1" s="19">
      <c r="A30" s="31" t="inlineStr">
        <is>
          <t>Boundary Value Analysis — phone 10-digit minimum boundaries</t>
        </is>
      </c>
    </row>
    <row r="31" ht="75.09999999999999" customFormat="1" customHeight="1" s="19">
      <c r="A31" s="5" t="inlineStr">
        <is>
          <t>US-CI-06</t>
        </is>
      </c>
      <c r="B31" s="5" t="inlineStr">
        <is>
          <t>TC-011</t>
        </is>
      </c>
      <c r="C31" s="5" t="inlineStr">
        <is>
          <t>Home Phone with 9 digits is rejected (just below minimum)
Technique: Boundary Value Analysis
Req: Customer Detail §5.1 validation #10 "Home Phone Number 10 Digits Min"; FR-09</t>
        </is>
      </c>
      <c r="D31" s="5" t="inlineStr">
        <is>
          <t>Account Creation form open in Insert mode (AS-03).</t>
        </is>
      </c>
      <c r="E31" s="5" t="inlineStr">
        <is>
          <t>Chrome (latest)</t>
        </is>
      </c>
      <c r="F31" s="5" t="inlineStr">
        <is>
          <t>1. Enter valid mandatory fields.
2. Enter a Home Phone with 9 digits.
3. Click Save.</t>
        </is>
      </c>
      <c r="G31" s="5" t="inlineStr">
        <is>
          <t>Mandatory fields valid; Home Phone = "202555010" (9 digits).</t>
        </is>
      </c>
      <c r="H31" s="5" t="inlineStr">
        <is>
          <t>Save is blocked by validation #10 "Home Phone Number 10 Digits Min"; no customer is created.</t>
        </is>
      </c>
      <c r="I31" s="5" t="n"/>
      <c r="J31" s="5" t="inlineStr">
        <is>
          <t>High</t>
        </is>
      </c>
      <c r="K31" s="5" t="n"/>
      <c r="L31" s="5" t="n"/>
      <c r="M31" s="5" t="n"/>
      <c r="N31" s="5" t="n"/>
      <c r="O31" s="5" t="n"/>
    </row>
    <row r="32" ht="75.09999999999999" customFormat="1" customHeight="1" s="19">
      <c r="A32" s="5" t="inlineStr">
        <is>
          <t>US-CI-06</t>
        </is>
      </c>
      <c r="B32" s="5" t="inlineStr">
        <is>
          <t>TC-012</t>
        </is>
      </c>
      <c r="C32" s="5" t="inlineStr">
        <is>
          <t>Home Phone with exactly 10 digits is accepted (minimum boundary)
Technique: Boundary Value Analysis
Req: Customer Detail §5.1 validation #10, action #10; FR-09, FR-13</t>
        </is>
      </c>
      <c r="D32" s="5" t="inlineStr">
        <is>
          <t>Account Creation form open in Insert mode (AS-03).</t>
        </is>
      </c>
      <c r="E32" s="5" t="inlineStr">
        <is>
          <t>Chrome (latest)</t>
        </is>
      </c>
      <c r="F32" s="5" t="inlineStr">
        <is>
          <t>1. Enter valid mandatory fields.
2. Enter a Home Phone with exactly 10 digits.
3. Click Save.</t>
        </is>
      </c>
      <c r="G32" s="5" t="inlineStr">
        <is>
          <t>Mandatory fields valid; Home Phone = "2025550100" (10 digits).</t>
        </is>
      </c>
      <c r="H32" s="5" t="inlineStr">
        <is>
          <t>Validation #10 passes; the customer is created; the home phone is normalised on Save (action #10).</t>
        </is>
      </c>
      <c r="I32" s="5" t="n"/>
      <c r="J32" s="5" t="inlineStr">
        <is>
          <t>High</t>
        </is>
      </c>
      <c r="K32" s="5" t="n"/>
      <c r="L32" s="5" t="n"/>
      <c r="M32" s="5" t="n"/>
      <c r="N32" s="5" t="n"/>
      <c r="O32" s="5" t="n"/>
    </row>
    <row r="33" ht="75.09999999999999" customHeight="1" s="32">
      <c r="A33" s="5" t="inlineStr">
        <is>
          <t>US-CI-06</t>
        </is>
      </c>
      <c r="B33" s="5" t="inlineStr">
        <is>
          <t>TC-013</t>
        </is>
      </c>
      <c r="C33" s="5" t="inlineStr">
        <is>
          <t>Home Phone with 11 digits is accepted (above minimum)
Technique: Boundary Value Analysis
Req: Customer Detail §5.1 validation #10, §3.1 FormattedCellPhone; FR-09; RG-04</t>
        </is>
      </c>
      <c r="D33" s="5" t="inlineStr">
        <is>
          <t>Account Creation form open in Insert mode (AS-03); upper bound undefined (RG-04).</t>
        </is>
      </c>
      <c r="E33" s="5" t="inlineStr">
        <is>
          <t>Chrome (latest)</t>
        </is>
      </c>
      <c r="F33" s="5" t="inlineStr">
        <is>
          <t>1. Enter valid mandatory fields.
2. Enter a Home Phone with 11 digits.
3. Click Save.</t>
        </is>
      </c>
      <c r="G33" s="5" t="inlineStr">
        <is>
          <t>Mandatory fields valid; Home Phone = "12025550100" (11 digits).</t>
        </is>
      </c>
      <c r="H33" s="5" t="inlineStr">
        <is>
          <t>Validation #10 (minimum) passes and the customer is created. Normalisation formats only the first 10 digits (RG-04) — observe handling of the 11th digit and raise a defect/clarification if truncation is unintended.</t>
        </is>
      </c>
      <c r="I33" s="5" t="n"/>
      <c r="J33" s="5" t="inlineStr">
        <is>
          <t>Medium</t>
        </is>
      </c>
      <c r="K33" s="5" t="n"/>
      <c r="L33" s="5" t="n"/>
      <c r="M33" s="5" t="n"/>
      <c r="N33" s="5" t="n"/>
      <c r="O33" s="5" t="n"/>
    </row>
    <row r="34" ht="75.09999999999999" customHeight="1" s="32">
      <c r="A34" s="5" t="inlineStr">
        <is>
          <t>US-CI-06</t>
        </is>
      </c>
      <c r="B34" s="5" t="inlineStr">
        <is>
          <t>TC-014</t>
        </is>
      </c>
      <c r="C34" s="5" t="inlineStr">
        <is>
          <t>Mobile Phone with 9 digits is rejected (just below minimum)
Technique: Boundary Value Analysis
Req: Customer Detail §5.1 validation #20 "Cell Phone Number 10 Digits Min"; FR-10</t>
        </is>
      </c>
      <c r="D34" s="5" t="inlineStr">
        <is>
          <t>Account Creation form open in Insert mode (AS-03).</t>
        </is>
      </c>
      <c r="E34" s="5" t="inlineStr">
        <is>
          <t>Chrome (latest)</t>
        </is>
      </c>
      <c r="F34" s="5" t="inlineStr">
        <is>
          <t>1. Enter valid mandatory fields.
2. Enter a Mobile Phone with 9 digits.
3. Click Save.</t>
        </is>
      </c>
      <c r="G34" s="5" t="inlineStr">
        <is>
          <t>Mandatory fields valid; Mobile Country Code = "+1"; Mobile Phone = "202555011" (9 digits).</t>
        </is>
      </c>
      <c r="H34" s="5" t="inlineStr">
        <is>
          <t>Save is blocked by validation #20 "Cell Phone Number 10 Digits Min"; no customer is created.</t>
        </is>
      </c>
      <c r="I34" s="5" t="n"/>
      <c r="J34" s="5" t="inlineStr">
        <is>
          <t>High</t>
        </is>
      </c>
      <c r="K34" s="5" t="n"/>
      <c r="L34" s="5" t="n"/>
      <c r="M34" s="5" t="n"/>
      <c r="N34" s="5" t="n"/>
      <c r="O34" s="5" t="n"/>
    </row>
    <row r="35" ht="75.09999999999999" customHeight="1" s="32">
      <c r="A35" s="5" t="inlineStr">
        <is>
          <t>US-CI-06</t>
        </is>
      </c>
      <c r="B35" s="5" t="inlineStr">
        <is>
          <t>TC-015</t>
        </is>
      </c>
      <c r="C35" s="5" t="inlineStr">
        <is>
          <t>Mobile Phone with exactly 10 digits is accepted (minimum boundary)
Technique: Boundary Value Analysis
Req: Customer Detail §5.1 validation #20, action #20, §3.1 FormattedCellPhone; FR-10, FR-13</t>
        </is>
      </c>
      <c r="D35" s="5" t="inlineStr">
        <is>
          <t>Account Creation form open in Insert mode (AS-03).</t>
        </is>
      </c>
      <c r="E35" s="5" t="inlineStr">
        <is>
          <t>Chrome (latest)</t>
        </is>
      </c>
      <c r="F35" s="5" t="inlineStr">
        <is>
          <t>1. Enter valid mandatory fields.
2. Enter a Mobile Phone with exactly 10 digits.
3. Click Save.</t>
        </is>
      </c>
      <c r="G35" s="5" t="inlineStr">
        <is>
          <t>Mandatory fields valid; Mobile Country Code = "+1"; Mobile Phone = "2025550111" (10 digits).</t>
        </is>
      </c>
      <c r="H35" s="5" t="inlineStr">
        <is>
          <t>Validation #20 passes; the customer is created; the cell phone is normalised to the "(xxx) xxx-xxxx" pattern on Save (action #20, AS-06).</t>
        </is>
      </c>
      <c r="I35" s="5" t="n"/>
      <c r="J35" s="5" t="inlineStr">
        <is>
          <t>High</t>
        </is>
      </c>
      <c r="K35" s="5" t="n"/>
      <c r="L35" s="5" t="n"/>
      <c r="M35" s="5" t="n"/>
      <c r="N35" s="34" t="n"/>
      <c r="O35" s="5" t="n"/>
    </row>
    <row r="36" ht="75.09999999999999" customHeight="1" s="32">
      <c r="A36" s="5" t="inlineStr">
        <is>
          <t>US-CI-06</t>
        </is>
      </c>
      <c r="B36" s="5" t="inlineStr">
        <is>
          <t>TC-016</t>
        </is>
      </c>
      <c r="C36" s="5" t="inlineStr">
        <is>
          <t>Mobile Phone with 11 digits is accepted (above minimum)
Technique: Boundary Value Analysis
Req: Customer Detail §5.1 validation #20, §3.1 FormattedCellPhone; FR-10; RG-04</t>
        </is>
      </c>
      <c r="D36" s="5" t="inlineStr">
        <is>
          <t>Account Creation form open in Insert mode (AS-03); upper bound undefined (RG-04).</t>
        </is>
      </c>
      <c r="E36" s="5" t="inlineStr">
        <is>
          <t>Chrome (latest)</t>
        </is>
      </c>
      <c r="F36" s="5" t="inlineStr">
        <is>
          <t>1. Enter valid mandatory fields.
2. Enter a Mobile Phone with 11 digits.
3. Click Save.</t>
        </is>
      </c>
      <c r="G36" s="5" t="inlineStr">
        <is>
          <t>Mandatory fields valid; Mobile Phone = "12025550111" (11 digits).</t>
        </is>
      </c>
      <c r="H36" s="5" t="inlineStr">
        <is>
          <t>Validation #20 (minimum) passes and the customer is created. Observe normalisation of digits beyond the first 10 (RG-04) and raise clarification if truncation is unintended.</t>
        </is>
      </c>
      <c r="I36" s="5" t="n"/>
      <c r="J36" s="5" t="inlineStr">
        <is>
          <t>Medium</t>
        </is>
      </c>
      <c r="K36" s="5" t="n"/>
      <c r="L36" s="5" t="n"/>
      <c r="M36" s="5" t="n"/>
      <c r="N36" s="5" t="n"/>
      <c r="O36" s="5" t="n"/>
    </row>
    <row r="37" ht="21.9" customHeight="1" s="32">
      <c r="A37" s="31" t="inlineStr">
        <is>
          <t>Decision Table Testing — Save Customer Details rule combinations</t>
        </is>
      </c>
    </row>
    <row r="38" ht="75.09999999999999" customHeight="1" s="32">
      <c r="A38" s="5" t="inlineStr">
        <is>
          <t>US-CI-06</t>
        </is>
      </c>
      <c r="B38" s="5" t="inlineStr">
        <is>
          <t>TC-017</t>
        </is>
      </c>
      <c r="C38" s="5" t="inlineStr">
        <is>
          <t>Decision Table Rule 1 — all required valid, email unique, phones valid: Save succeeds
Technique: Decision Table Testing
Req: Customer Detail §5.1 (all validations pass path); US-CI-06; FR-16</t>
        </is>
      </c>
      <c r="D38" s="5" t="inlineStr">
        <is>
          <t>Account Creation form open in Insert mode (AS-03). Conditions: First=T, Last=T, Email present=T, format valid=T, brand-unique=T, entered phones ≥10 digits=T.</t>
        </is>
      </c>
      <c r="E38" s="5" t="inlineStr">
        <is>
          <t>Chrome (latest)</t>
        </is>
      </c>
      <c r="F38" s="5" t="inlineStr">
        <is>
          <t>1. Populate all fields to satisfy every "T" condition.
2. Click Save.</t>
        </is>
      </c>
      <c r="G38" s="5" t="inlineStr">
        <is>
          <t>First = "Owen"; Last = "Park"; Email = "owen.park@example.com"; Home Phone = "2025550100"; Mobile Phone = "2025550111".</t>
        </is>
      </c>
      <c r="H38" s="5" t="inlineStr">
        <is>
          <t>Action = customer created and set as current (all 8 validations pass; commit actions execute).</t>
        </is>
      </c>
      <c r="I38" s="5" t="n"/>
      <c r="J38" s="5" t="inlineStr">
        <is>
          <t>High</t>
        </is>
      </c>
      <c r="K38" s="5" t="n"/>
      <c r="L38" s="5" t="n"/>
      <c r="M38" s="5" t="n"/>
      <c r="N38" s="5" t="n"/>
      <c r="O38" s="5" t="n"/>
    </row>
    <row r="39" ht="75.09999999999999" customHeight="1" s="32">
      <c r="A39" s="5" t="inlineStr">
        <is>
          <t>US-CI-06</t>
        </is>
      </c>
      <c r="B39" s="5" t="inlineStr">
        <is>
          <t>TC-018</t>
        </is>
      </c>
      <c r="C39" s="5" t="inlineStr">
        <is>
          <t>Decision Table Rule 2 — Last Name missing (others valid): Save fails
Technique: Decision Table Testing
Req: Customer Detail §5.1 validation #60; FR-05</t>
        </is>
      </c>
      <c r="D39" s="5" t="inlineStr">
        <is>
          <t>Account Creation form open in Insert mode (AS-03). Conditions: First=T, Last=F, Email present/valid/unique=T.</t>
        </is>
      </c>
      <c r="E39" s="5" t="inlineStr">
        <is>
          <t>Chrome (latest)</t>
        </is>
      </c>
      <c r="F39" s="5" t="inlineStr">
        <is>
          <t>1. Enter First and a valid Email; leave Last Name empty.
2. Click Save.</t>
        </is>
      </c>
      <c r="G39" s="5" t="inlineStr">
        <is>
          <t>First = "Owen"; Last = ""; Email = "owen.park2@example.com".</t>
        </is>
      </c>
      <c r="H39" s="5" t="inlineStr">
        <is>
          <t>Action = creation blocked at validation #60 "Last Name Missing"; no customer created.</t>
        </is>
      </c>
      <c r="I39" s="5" t="n"/>
      <c r="J39" s="5" t="inlineStr">
        <is>
          <t>High</t>
        </is>
      </c>
      <c r="K39" s="5" t="n"/>
      <c r="L39" s="5" t="n"/>
      <c r="M39" s="5" t="n"/>
      <c r="N39" s="5" t="n"/>
      <c r="O39" s="5" t="n"/>
    </row>
    <row r="40" ht="75.09999999999999" customHeight="1" s="32">
      <c r="A40" s="5" t="inlineStr">
        <is>
          <t>US-CI-06</t>
        </is>
      </c>
      <c r="B40" s="5" t="inlineStr">
        <is>
          <t>TC-019</t>
        </is>
      </c>
      <c r="C40" s="5" t="inlineStr">
        <is>
          <t>Decision Table Rule 3 — names present but Email format invalid: Save fails
Technique: Decision Table Testing
Req: Customer Detail §5.1 validation #70; FR-07</t>
        </is>
      </c>
      <c r="D40" s="5" t="inlineStr">
        <is>
          <t>Account Creation form open in Insert mode (AS-03). Conditions: First=T, Last=T, Email present=T, format valid=F.</t>
        </is>
      </c>
      <c r="E40" s="5" t="inlineStr">
        <is>
          <t>Chrome (latest)</t>
        </is>
      </c>
      <c r="F40" s="5" t="inlineStr">
        <is>
          <t>1. Enter valid names and a malformed Email.
2. Click Save.</t>
        </is>
      </c>
      <c r="G40" s="5" t="inlineStr">
        <is>
          <t>First = "Owen"; Last = "Park"; Email = "owen.park@@example" (malformed).</t>
        </is>
      </c>
      <c r="H40" s="5" t="inlineStr">
        <is>
          <t>Action = creation blocked at validation #70 "email address format"; no customer created.</t>
        </is>
      </c>
      <c r="I40" s="5" t="n"/>
      <c r="J40" s="5" t="inlineStr">
        <is>
          <t>High</t>
        </is>
      </c>
      <c r="K40" s="5" t="n"/>
      <c r="L40" s="5" t="n"/>
      <c r="M40" s="5" t="n"/>
      <c r="N40" s="5" t="n"/>
      <c r="O40" s="5" t="n"/>
    </row>
    <row r="41" ht="75.09999999999999" customHeight="1" s="32">
      <c r="A41" s="5" t="inlineStr">
        <is>
          <t>US-CI-06</t>
        </is>
      </c>
      <c r="B41" s="5" t="inlineStr">
        <is>
          <t>TC-020</t>
        </is>
      </c>
      <c r="C41" s="5" t="inlineStr">
        <is>
          <t>Decision Table Rule 4 — email valid format but duplicate within brand: Save fails
Technique: Decision Table Testing
Req: Customer Detail §5.1 validation #80, §3.1 (brand-scoped WHERE); FR-08</t>
        </is>
      </c>
      <c r="D41" s="5" t="inlineStr">
        <is>
          <t>Account Creation form open in Insert mode (AS-03). A customer with the same email already exists in the current brand. Conditions: First=T, Last=T, Email present=T, format valid=T, brand-unique=F.</t>
        </is>
      </c>
      <c r="E41" s="5" t="inlineStr">
        <is>
          <t>Chrome (latest)</t>
        </is>
      </c>
      <c r="F41" s="5" t="inlineStr">
        <is>
          <t>1. Enter valid names.
2. Enter an email that already exists for another customer in the current brand.
3. Click Save.</t>
        </is>
      </c>
      <c r="G41" s="5" t="inlineStr">
        <is>
          <t>First = "Owen"; Last = "Park"; Email = "existing.customer@example.com" (already present in this brand).</t>
        </is>
      </c>
      <c r="H41" s="5" t="inlineStr">
        <is>
          <t>Action = creation blocked at validation #80 "Duplicate Brand Email Address"; no duplicate customer created within the brand.</t>
        </is>
      </c>
      <c r="I41" s="5" t="n"/>
      <c r="J41" s="5" t="inlineStr">
        <is>
          <t>High</t>
        </is>
      </c>
      <c r="K41" s="5" t="n"/>
      <c r="L41" s="5" t="n"/>
      <c r="M41" s="5" t="n"/>
      <c r="N41" s="34" t="n"/>
      <c r="O41" s="5" t="n"/>
    </row>
    <row r="42" ht="75.09999999999999" customHeight="1" s="32">
      <c r="A42" s="5" t="inlineStr">
        <is>
          <t>US-CI-06</t>
        </is>
      </c>
      <c r="B42" s="5" t="inlineStr">
        <is>
          <t>TC-021</t>
        </is>
      </c>
      <c r="C42" s="5" t="inlineStr">
        <is>
          <t>Decision Table Rule 5 — all required valid but entered Home Phone below 10 digits: Save fails
Technique: Decision Table Testing
Req: Customer Detail §5.1 validation #10; FR-09</t>
        </is>
      </c>
      <c r="D42" s="5" t="inlineStr">
        <is>
          <t>Account Creation form open in Insert mode (AS-03). Conditions: First/Last/Email valid=T, entered Home Phone ≥10 digits=F.</t>
        </is>
      </c>
      <c r="E42" s="5" t="inlineStr">
        <is>
          <t>Chrome (latest)</t>
        </is>
      </c>
      <c r="F42" s="5" t="inlineStr">
        <is>
          <t>1. Enter valid mandatory fields.
2. Enter a Home Phone with fewer than 10 digits.
3. Click Save.</t>
        </is>
      </c>
      <c r="G42" s="5" t="inlineStr">
        <is>
          <t>First = "Owen"; Last = "Park"; Email = "owen.park3@example.com"; Home Phone = "202555" (6 digits).</t>
        </is>
      </c>
      <c r="H42" s="5" t="inlineStr">
        <is>
          <t>Action = creation blocked at validation #10 "Home Phone Number 10 Digits Min" despite valid name/email; no customer created.</t>
        </is>
      </c>
      <c r="I42" s="5" t="n"/>
      <c r="J42" s="5" t="inlineStr">
        <is>
          <t>Medium</t>
        </is>
      </c>
      <c r="K42" s="5" t="n"/>
      <c r="L42" s="5" t="n"/>
      <c r="M42" s="5" t="n"/>
      <c r="N42" s="5" t="n"/>
      <c r="O42" s="5" t="n"/>
    </row>
    <row r="43" ht="21.9" customHeight="1" s="32">
      <c r="A43" s="31" t="inlineStr">
        <is>
          <t>State Transition Testing — Insert / Validation-Failed / Committed states</t>
        </is>
      </c>
    </row>
    <row r="44" ht="75.09999999999999" customHeight="1" s="32">
      <c r="A44" s="5" t="inlineStr">
        <is>
          <t>US-CI-06</t>
        </is>
      </c>
      <c r="B44" s="5" t="inlineStr">
        <is>
          <t>TC-029</t>
        </is>
      </c>
      <c r="C44" s="5" t="inlineStr">
        <is>
          <t>State transition — invalid Save keeps the form active, then correction commits
Technique: State Transition Testing
Req: Customer Detail §1.2 (Insert mode), §5.1 validation #30; FR-01, FR-06</t>
        </is>
      </c>
      <c r="D44" s="5" t="inlineStr">
        <is>
          <t>Account Creation form open in Insert mode (AS-03). States: S1 Empty Insert form → S2 Data Entered → S3 Validation Failed → S4 Committed.</t>
        </is>
      </c>
      <c r="E44" s="5" t="inlineStr">
        <is>
          <t>Chrome (latest)</t>
        </is>
      </c>
      <c r="F44" s="5" t="inlineStr">
        <is>
          <t>1. From S1, enter names but leave Email empty (S2).
2. Click Save — expect transition to S3 (Validation Failed).
3. Enter a valid Email.
4. Click Save again — expect transition to S4 (Committed).</t>
        </is>
      </c>
      <c r="G44" s="5" t="inlineStr">
        <is>
          <t>Step-1 invalid: First = "Kate"; Last = "Doe"; Email = "" (empty). Step-2 correction: Email = "kate.doe@example.com".</t>
        </is>
      </c>
      <c r="H44" s="5" t="inlineStr">
        <is>
          <t>The first Save transitions to Validation Failed (blocked by #30, no commit, form remains editable with data retained); after correction, Save transitions to Committed and the customer is created and set as current. No invalid intermediate state persists a customer.</t>
        </is>
      </c>
      <c r="I44" s="5" t="n"/>
      <c r="J44" s="5" t="inlineStr">
        <is>
          <t>High</t>
        </is>
      </c>
      <c r="K44" s="5" t="n"/>
      <c r="L44" s="5" t="n"/>
      <c r="M44" s="5" t="n"/>
      <c r="N44" s="5" t="n"/>
      <c r="O44" s="5" t="n"/>
    </row>
    <row r="45" ht="75.09999999999999" customHeight="1" s="32">
      <c r="A45" s="5" t="inlineStr">
        <is>
          <t>US-CI-06</t>
        </is>
      </c>
      <c r="B45" s="5" t="inlineStr">
        <is>
          <t>TC-030</t>
        </is>
      </c>
      <c r="C45" s="5" t="inlineStr">
        <is>
          <t>State transition — successful Save stamps brand context and current customer
Technique: State Transition Testing
Req: Customer Detail §5.1 actions #5/#8/#10/#20/#30/#50/#60, §1.0 postcondition; FR-15; (action #40 removed — R5)</t>
        </is>
      </c>
      <c r="D45" s="5" t="inlineStr">
        <is>
          <t>Account Creation form open in Insert mode (AS-03). Transition: Data Entered (valid) → Committed → Current-customer context established.</t>
        </is>
      </c>
      <c r="E45" s="5" t="inlineStr">
        <is>
          <t>Chrome (latest)</t>
        </is>
      </c>
      <c r="F45" s="5" t="inlineStr">
        <is>
          <t>1. Enter valid mandatory fields.
2. Click Save.
3. Observe the resulting context.</t>
        </is>
      </c>
      <c r="G45" s="5" t="inlineStr">
        <is>
          <t>First = "Mark"; Last = "Lane"; Email = "mark.lane@example.com".</t>
        </is>
      </c>
      <c r="H45" s="5" t="inlineStr">
        <is>
          <t>On the transition to Committed, the Save actions execute in order: BrandID stamped to CurrentBrandID (#5), CustomerBrand link inserted (#8), phone/country-code normalised (#10/#20/#30), event copied (#50), and UserParam.CurrentCustomerID set to the new customer (#60). The flow continues with the new customer selected (AS-07). Action #40 (Terms) is de-scoped per R5 and must NOT execute.</t>
        </is>
      </c>
      <c r="I45" s="5" t="n"/>
      <c r="J45" s="5" t="inlineStr">
        <is>
          <t>High</t>
        </is>
      </c>
      <c r="K45" s="5" t="n"/>
      <c r="L45" s="5" t="n"/>
      <c r="M45" s="5" t="n"/>
      <c r="N45" s="5" t="n"/>
      <c r="O45" s="5" t="n"/>
    </row>
    <row r="46" ht="21.9" customHeight="1" s="32">
      <c r="A46" s="31" t="inlineStr">
        <is>
          <t>Use Case Testing — end-to-end create-account workflow &amp; navigation</t>
        </is>
      </c>
    </row>
    <row r="47" ht="75.09999999999999" customHeight="1" s="32">
      <c r="A47" s="5" t="inlineStr">
        <is>
          <t>US-CI-06</t>
        </is>
      </c>
      <c r="B47" s="5" t="inlineStr">
        <is>
          <t>TC-031</t>
        </is>
      </c>
      <c r="C47" s="5" t="inlineStr">
        <is>
          <t>End-to-end — search with no match, create account, and continue into the scan/shop flow
Technique: Use Case Testing
Req: Overview US-CI-01, US-CI-02, US-CI-03, US-CI-06, US-CI-05; Customer Detail §1.0; FR-17</t>
        </is>
      </c>
      <c r="D47" s="5" t="inlineStr">
        <is>
          <t>User authenticated with a brand context set (AS-03). Customer Search panel accessible (US-CI-01).</t>
        </is>
      </c>
      <c r="E47" s="5" t="inlineStr">
        <is>
          <t>Chrome (latest)</t>
        </is>
      </c>
      <c r="F47" s="5" t="inlineStr">
        <is>
          <t>1. Open the Customer Search panel (US-CI-01).
2. Search by first + last name returning no match (US-CI-02).
3. Click Create Account to branch to the form (US-CI-03 → US-CI-06).
4. Complete the mandatory fields and click Save.
5. Observe that the new customer becomes the current customer.</t>
        </is>
      </c>
      <c r="G47" s="5" t="inlineStr">
        <is>
          <t>Search: First = "Zoe", Last = "West" (no existing match). Create: First = "Zoe"; Last = "West"; Email = "zoe.west@example.com".</t>
        </is>
      </c>
      <c r="H47" s="5" t="inlineStr">
        <is>
          <t>The customer is created, stamped to the brand, linked via CustomerBrand, and set as UserParam.CurrentCustomerID; the associate continues with the new customer selected, entering the downstream scan/shop workspace (as with an existing customer via Search Results → Scan, US-CI-05).</t>
        </is>
      </c>
      <c r="I47" s="5" t="n"/>
      <c r="J47" s="5" t="inlineStr">
        <is>
          <t>High</t>
        </is>
      </c>
      <c r="K47" s="5" t="n"/>
      <c r="L47" s="5" t="n"/>
      <c r="M47" s="5" t="n"/>
      <c r="N47" s="5" t="n"/>
      <c r="O47" s="5" t="n"/>
    </row>
    <row r="48" ht="75.09999999999999" customHeight="1" s="32">
      <c r="A48" s="5" t="inlineStr">
        <is>
          <t>US-CI-06</t>
        </is>
      </c>
      <c r="B48" s="5" t="inlineStr">
        <is>
          <t>TC-032</t>
        </is>
      </c>
      <c r="C48" s="5" t="inlineStr">
        <is>
          <t>End-to-end — branch directly to Create Account from the search entry (no search run)
Technique: Use Case Testing
Req: Overview US-CI-01, US-CI-03; Customer Detail §1.0; FR-01, FR-17</t>
        </is>
      </c>
      <c r="D48" s="5" t="inlineStr">
        <is>
          <t>User authenticated with brand context set (AS-03). Customer Search panel open; no search executed (US-CI-01 states no search runs automatically on open).</t>
        </is>
      </c>
      <c r="E48" s="5" t="inlineStr">
        <is>
          <t>Chrome (latest)</t>
        </is>
      </c>
      <c r="F48" s="5" t="inlineStr">
        <is>
          <t>1. Open the Customer Search panel.
2. Without running a search, click Create Account (US-CI-03, no match required).
3. Complete mandatory fields on the form.
4. Click Save.</t>
        </is>
      </c>
      <c r="G48" s="5" t="inlineStr">
        <is>
          <t>First = "Ben"; Last = "Ford"; Email = "ben.ford@example.com".</t>
        </is>
      </c>
      <c r="H48" s="5" t="inlineStr">
        <is>
          <t>The Account Creation form opens in Insert mode with the brand context; the customer is created and set as current, confirming Create Account is reachable without first running a search.</t>
        </is>
      </c>
      <c r="I48" s="5" t="n"/>
      <c r="J48" s="5" t="inlineStr">
        <is>
          <t>Medium</t>
        </is>
      </c>
      <c r="K48" s="5" t="n"/>
      <c r="L48" s="5" t="n"/>
      <c r="M48" s="5" t="n"/>
      <c r="N48" s="5" t="n"/>
      <c r="O48" s="5" t="n"/>
    </row>
    <row r="49" ht="75.09999999999999" customHeight="1" s="32">
      <c r="A49" s="5" t="inlineStr">
        <is>
          <t>US-CI-06</t>
        </is>
      </c>
      <c r="B49" s="5" t="inlineStr">
        <is>
          <t>TC-036</t>
        </is>
      </c>
      <c r="C49" s="5" t="inlineStr">
        <is>
          <t>Precondition/navigation — form opens in Insert mode with the current brand context
Technique: Use Case Testing
Req: Customer Detail §1.0 (Trigger/Precondition), §1.1 (Endpoint), §1.2 (Page Properties); Overview US-CI-03; FR-01</t>
        </is>
      </c>
      <c r="D49" s="5" t="inlineStr">
        <is>
          <t>User authenticated; a current order brand is set (UserParam.CurrentOrderBrandID).</t>
        </is>
      </c>
      <c r="E49" s="5" t="inlineStr">
        <is>
          <t>Chrome (latest)</t>
        </is>
      </c>
      <c r="F49" s="5" t="inlineStr">
        <is>
          <t>1. From Customer Search, click Create Account.
2. Observe the opened URL/mode and the brand scoping.</t>
        </is>
      </c>
      <c r="G49" s="5" t="inlineStr">
        <is>
          <t>Current order brand = a known brand ID.</t>
        </is>
      </c>
      <c r="H49" s="5" t="inlineStr">
        <is>
          <t>The Customer Detail page opens at ?$mode=Insert&amp;BrandID={CurrentOrderBrandID} with an empty scaffolded customer row scoped to the current brand; the form is ready for data entry (Insert/Account-Creation mode).</t>
        </is>
      </c>
      <c r="I49" s="5" t="n"/>
      <c r="J49" s="5" t="inlineStr">
        <is>
          <t>Medium</t>
        </is>
      </c>
      <c r="K49" s="5" t="n"/>
      <c r="L49" s="5" t="n"/>
      <c r="M49" s="5" t="n"/>
      <c r="N49" s="5" t="n"/>
      <c r="O49" s="5" t="n"/>
    </row>
    <row r="50" ht="21.9" customHeight="1" s="32">
      <c r="A50" s="31" t="inlineStr">
        <is>
          <t>Checklist-based Testing — UI layout, grouping &amp; required markers</t>
        </is>
      </c>
    </row>
    <row r="51" ht="75.09999999999999" customHeight="1" s="32">
      <c r="A51" s="5" t="inlineStr">
        <is>
          <t>US-CI-06</t>
        </is>
      </c>
      <c r="B51" s="5" t="inlineStr">
        <is>
          <t>TC-035</t>
        </is>
      </c>
      <c r="C51" s="5" t="inlineStr">
        <is>
          <t>UI validation — mandatory markers and field grouping match the BRD
Technique: Checklist-based Testing
Req: Customer Detail §2 (Controls: Contact and Address groups, required markers); FR-02, FR-03; RG-07</t>
        </is>
      </c>
      <c r="D51" s="5" t="inlineStr">
        <is>
          <t>Account Creation form open in Insert mode (AS-03).</t>
        </is>
      </c>
      <c r="E51" s="5" t="inlineStr">
        <is>
          <t>Chrome (latest)</t>
        </is>
      </c>
      <c r="F51" s="5" t="inlineStr">
        <is>
          <t>1. Open the form.
2. Verify the Contact group contains First*, Last*, Title, Gender*, Email*, Home Phone, Mobile Country Code, Mobile Phone.
3. Verify the Address group contains Address, City, State, Postal Code, Country*.
4. Verify required fields (First, Last, Gender, Email, Country) are visually marked as required.</t>
        </is>
      </c>
      <c r="G51" s="5" t="inlineStr">
        <is>
          <t>None (UI inspection against §2 controls).</t>
        </is>
      </c>
      <c r="H51" s="5" t="inlineStr">
        <is>
          <t>Field presence, grouping, and required markers match §2. Note: no Save validation exists for Gender/Country (RG-07) — record any discrepancy between the required marker and actual enforcement.</t>
        </is>
      </c>
      <c r="I51" s="5" t="n"/>
      <c r="J51" s="5" t="inlineStr">
        <is>
          <t>Low</t>
        </is>
      </c>
      <c r="K51" s="5" t="n"/>
      <c r="L51" s="5" t="n"/>
      <c r="M51" s="5" t="n"/>
      <c r="N51" s="5" t="n"/>
      <c r="O51" s="5" t="n"/>
    </row>
    <row r="52" ht="21.9" customHeight="1" s="32">
      <c r="A52" s="31" t="inlineStr">
        <is>
          <t>Error Guessing — robustness of documented validations</t>
        </is>
      </c>
    </row>
    <row r="53" ht="75.09999999999999" customHeight="1" s="32">
      <c r="A53" s="5" t="inlineStr">
        <is>
          <t>US-CI-06</t>
        </is>
      </c>
      <c r="B53" s="5" t="inlineStr">
        <is>
          <t>TC-037</t>
        </is>
      </c>
      <c r="C53" s="5" t="inlineStr">
        <is>
          <t>Error guessing — Email with leading/trailing whitespace
Technique: Error Guessing
Req: Customer Detail §5.1 validations #70, #80; FR-07, FR-08; RG-09, RG-11; AS-08</t>
        </is>
      </c>
      <c r="D53" s="5" t="inlineStr">
        <is>
          <t>Account Creation form open in Insert mode (AS-03). Probes robustness of the email format (#70) and duplicate (#80) rules.</t>
        </is>
      </c>
      <c r="E53" s="5" t="inlineStr">
        <is>
          <t>Chrome (latest)</t>
        </is>
      </c>
      <c r="F53" s="5" t="inlineStr">
        <is>
          <t>1. Enter valid names.
2. Enter the Email with surrounding spaces.
3. Click Save.
4. If a trimmed duplicate exists, observe whether it is detected.</t>
        </is>
      </c>
      <c r="G53" s="5" t="inlineStr">
        <is>
          <t>First = "Sam"; Last = "Doe"; Email = " sam.doe@example.com " (leading and trailing spaces); a customer with "sam.doe@example.com" may or may not already exist in the brand.</t>
        </is>
      </c>
      <c r="H53" s="5" t="inlineStr">
        <is>
          <t>Behaviour is per the documented format (#70) and duplicate (#80) rules. Since whitespace/trim handling is unspecified (RG-09/RG-11), record the actual result: ideally the email is trimmed and treated consistently for both format and uniqueness. Any inconsistency (e.g., stored with spaces or bypassing the duplicate check) is a defect/clarification item.</t>
        </is>
      </c>
      <c r="I53" s="5" t="n"/>
      <c r="J53" s="5" t="inlineStr">
        <is>
          <t>Medium</t>
        </is>
      </c>
      <c r="K53" s="5" t="n"/>
      <c r="L53" s="5" t="n"/>
      <c r="M53" s="5" t="n"/>
      <c r="N53" s="5" t="n"/>
      <c r="O53" s="5" t="n"/>
    </row>
    <row r="54" ht="75.09999999999999" customHeight="1" s="32">
      <c r="A54" s="5" t="inlineStr">
        <is>
          <t>US-CI-06</t>
        </is>
      </c>
      <c r="B54" s="5" t="inlineStr">
        <is>
          <t>TC-038</t>
        </is>
      </c>
      <c r="C54" s="5" t="inlineStr">
        <is>
          <t>Error guessing — duplicate email differing only by letter case
Technique: Error Guessing
Req: Customer Detail §5.1 validation #80; FR-08; RG-11; AS-08</t>
        </is>
      </c>
      <c r="D54" s="5" t="inlineStr">
        <is>
          <t>Account Creation form open in Insert mode (AS-03). A customer with "john.doe@example.com" already exists in the current brand.</t>
        </is>
      </c>
      <c r="E54" s="5" t="inlineStr">
        <is>
          <t>Chrome (latest)</t>
        </is>
      </c>
      <c r="F54" s="5" t="inlineStr">
        <is>
          <t>1. Enter valid names.
2. Enter the case-variant email.
3. Click Save.</t>
        </is>
      </c>
      <c r="G54" s="5" t="inlineStr">
        <is>
          <t>First = "John"; Last = "Doe"; Email = "John.Doe@EXAMPLE.com" (same address, different case).</t>
        </is>
      </c>
      <c r="H54" s="5" t="inlineStr">
        <is>
          <t>Behaviour is per the documented brand-uniqueness rule (#80). Case-insensitivity is unspecified (RG-11): if uniqueness is intended to be case-insensitive, Save must be blocked as a duplicate; if the case variant is accepted, record it as a potential duplicate-integrity defect and clarification item.</t>
        </is>
      </c>
      <c r="I54" s="5" t="n"/>
      <c r="J54" s="5" t="inlineStr">
        <is>
          <t>High</t>
        </is>
      </c>
      <c r="K54" s="5" t="n"/>
      <c r="L54" s="5" t="n"/>
      <c r="M54" s="5" t="n"/>
      <c r="N54" s="5" t="n"/>
      <c r="O54" s="5" t="n"/>
    </row>
    <row r="55" ht="75.09999999999999" customHeight="1" s="32">
      <c r="A55" s="5" t="inlineStr">
        <is>
          <t>US-CI-06</t>
        </is>
      </c>
      <c r="B55" s="5" t="inlineStr">
        <is>
          <t>TC-039</t>
        </is>
      </c>
      <c r="C55" s="5" t="inlineStr">
        <is>
          <t>Error guessing — phone entered with formatting characters
Technique: Error Guessing
Req: Customer Detail §5.1 validations #10/#20, actions #10/#20, §3.1 FormattedCellPhone; FR-09, FR-10, FR-13; RG-04; AS-08</t>
        </is>
      </c>
      <c r="D55" s="5" t="inlineStr">
        <is>
          <t>Account Creation form open in Insert mode (AS-03). Probes how the 10-digit-minimum rules and normalisation treat non-digit characters.</t>
        </is>
      </c>
      <c r="E55" s="5" t="inlineStr">
        <is>
          <t>Chrome (latest)</t>
        </is>
      </c>
      <c r="F55" s="5" t="inlineStr">
        <is>
          <t>1. Enter valid mandatory fields.
2. Enter Home and Mobile phones containing spaces, parentheses, and dashes.
3. Click Save.
4. Inspect stored values.</t>
        </is>
      </c>
      <c r="G55" s="5" t="inlineStr">
        <is>
          <t>First = "Mia"; Last = "Fox"; Email = "mia.fox@example.com"; Home Phone = "(202) 555-0100"; Mobile Phone = "202-555-0111".</t>
        </is>
      </c>
      <c r="H55" s="5" t="inlineStr">
        <is>
          <t>Behaviour is per the documented minimum-10-digit rules (#10/#20) and normalisation (actions #10/#20). Character-set handling is unspecified (RG-04): ideally non-digit characters are ignored so the ten digits pass and normalise to "(202) 555-0100" / "(202) 555-0111". If formatting characters cause a false rejection or corrupt storage, record it as a defect/clarification item.</t>
        </is>
      </c>
      <c r="I55" s="5" t="n"/>
      <c r="J55" s="5" t="inlineStr">
        <is>
          <t>Medium</t>
        </is>
      </c>
      <c r="K55" s="5" t="n"/>
      <c r="L55" s="5" t="n"/>
      <c r="M55" s="5" t="n"/>
      <c r="N55" s="5" t="n"/>
      <c r="O55" s="5" t="n"/>
    </row>
    <row r="56" ht="75.09999999999999" customHeight="1" s="32">
      <c r="A56" s="5" t="inlineStr">
        <is>
          <t>US-CI-06</t>
        </is>
      </c>
      <c r="B56" s="5" t="inlineStr">
        <is>
          <t>TC-040</t>
        </is>
      </c>
      <c r="C56" s="5" t="inlineStr">
        <is>
          <t>Error guessing — rapid double-click on Save does not create duplicate records
Technique: Error Guessing
Req: Customer Detail §5.1 validation #80, action #8 (CustomerBrand Insert); FR-16, FR-08; RG-13; AS-08</t>
        </is>
      </c>
      <c r="D56" s="5" t="inlineStr">
        <is>
          <t>Account Creation form open in Insert mode (AS-03). Probes the check-then-insert path for duplicate/concurrency protection.</t>
        </is>
      </c>
      <c r="E56" s="5" t="inlineStr">
        <is>
          <t>Chrome (latest)</t>
        </is>
      </c>
      <c r="F56" s="5" t="inlineStr">
        <is>
          <t>1. Enter valid mandatory fields.
2. Double-click / rapidly click Save twice in succession.
3. Inspect the resulting records.</t>
        </is>
      </c>
      <c r="G56" s="5" t="inlineStr">
        <is>
          <t>First = "Rex"; Last = "Lin"; Email = "rex.lin@example.com" (not yet in the brand).</t>
        </is>
      </c>
      <c r="H56" s="5" t="inlineStr">
        <is>
          <t>Exactly one Customer and one CustomerBrand link are created for the email. Duplicate-submit handling is unspecified (RG-13); if two records or two brand links are created, record it as a defect/clarification item.</t>
        </is>
      </c>
      <c r="I56" s="5" t="n"/>
      <c r="J56" s="5" t="inlineStr">
        <is>
          <t>High</t>
        </is>
      </c>
      <c r="K56" s="5" t="n"/>
      <c r="L56" s="5" t="n"/>
      <c r="M56" s="5" t="n"/>
      <c r="N56" s="5" t="n"/>
      <c r="O56" s="5" t="n"/>
    </row>
    <row r="57" ht="75.09999999999999" customHeight="1" s="32">
      <c r="A57" s="5" t="inlineStr">
        <is>
          <t>US-CI-06</t>
        </is>
      </c>
      <c r="B57" s="5" t="inlineStr">
        <is>
          <t>TC-041</t>
        </is>
      </c>
      <c r="C57" s="5" t="inlineStr">
        <is>
          <t>Error guessing — oversized and special-character values in name fields
Technique: Error Guessing
Req: Customer Detail §5.1 validations #50/#60 (name present); §2 (name fields); FR-04, FR-05; RG-10; AS-08</t>
        </is>
      </c>
      <c r="D57" s="5" t="inlineStr">
        <is>
          <t>Account Creation form open in Insert mode (AS-03). Probes robustness of the name-present rules with extreme/special input.</t>
        </is>
      </c>
      <c r="E57" s="5" t="inlineStr">
        <is>
          <t>Chrome (latest)</t>
        </is>
      </c>
      <c r="F57" s="5" t="inlineStr">
        <is>
          <t>1. Enter an over-long First Name and a Last Name containing apostrophes, hyphens, accented/non-Latin characters, and markup-like text.
2. Enter a valid Email.
3. Click Save.
4. Inspect stored values and page rendering.</t>
        </is>
      </c>
      <c r="G57" s="5" t="inlineStr">
        <is>
          <t>First = a 300-character string; Last = "O'Neil-Łukasz &lt;script&gt; 名字"; Email = "long.name@example.com".</t>
        </is>
      </c>
      <c r="H57" s="5" t="inlineStr">
        <is>
          <t>Per §5.1 #50/#60 the names are non-empty, so those validations pass. As no length or character-set constraints are documented (RG-10), record the actual behaviour: input should be stored and rendered safely without truncation surprises, layout breakage, or script execution. Any data corruption, unsafe rendering, or unhandled error is a defect/clarification item.</t>
        </is>
      </c>
      <c r="I57" s="5" t="n"/>
      <c r="J57" s="5" t="inlineStr">
        <is>
          <t>Medium</t>
        </is>
      </c>
      <c r="K57" s="5" t="n"/>
      <c r="L57" s="5" t="n"/>
      <c r="M57" s="5" t="n"/>
      <c r="N57" s="5" t="n"/>
      <c r="O57" s="5" t="n"/>
    </row>
    <row r="58" s="32">
      <c r="A58" s="35" t="n"/>
      <c r="B58" s="35" t="n"/>
      <c r="C58" s="35" t="n"/>
      <c r="D58" s="35" t="n"/>
      <c r="E58" s="35" t="n"/>
      <c r="F58" s="35" t="n"/>
      <c r="G58" s="35" t="n"/>
      <c r="H58" s="35" t="n"/>
      <c r="I58" s="35" t="n"/>
      <c r="J58" s="35" t="n"/>
      <c r="K58" s="35" t="n"/>
      <c r="L58" s="35" t="n"/>
      <c r="M58" s="35" t="n"/>
      <c r="N58" s="35" t="n"/>
      <c r="O58" s="35" t="n"/>
    </row>
    <row r="59" s="32">
      <c r="A59" s="35" t="n"/>
      <c r="B59" s="35" t="n"/>
      <c r="C59" s="35" t="n"/>
      <c r="D59" s="35" t="n"/>
      <c r="E59" s="35" t="n"/>
      <c r="F59" s="35" t="n"/>
      <c r="G59" s="35" t="n"/>
      <c r="H59" s="35" t="n"/>
      <c r="I59" s="35" t="n"/>
      <c r="J59" s="35" t="n"/>
      <c r="K59" s="35" t="n"/>
      <c r="L59" s="35" t="n"/>
      <c r="M59" s="35" t="n"/>
      <c r="N59" s="35" t="n"/>
      <c r="O59" s="35" t="n"/>
    </row>
    <row r="60" s="32">
      <c r="A60" s="35" t="n"/>
      <c r="B60" s="35" t="n"/>
      <c r="C60" s="35" t="n"/>
      <c r="D60" s="35" t="n"/>
      <c r="E60" s="35" t="n"/>
      <c r="F60" s="35" t="n"/>
      <c r="G60" s="35" t="n"/>
      <c r="H60" s="35" t="n"/>
      <c r="I60" s="35" t="n"/>
      <c r="J60" s="35" t="n"/>
      <c r="K60" s="35" t="n"/>
      <c r="L60" s="35" t="n"/>
      <c r="M60" s="35" t="n"/>
      <c r="N60" s="35" t="n"/>
      <c r="O60" s="35" t="n"/>
    </row>
    <row r="61" s="32">
      <c r="A61" s="35" t="n"/>
      <c r="B61" s="35" t="n"/>
      <c r="C61" s="35" t="n"/>
      <c r="D61" s="35" t="n"/>
      <c r="E61" s="35" t="n"/>
      <c r="F61" s="35" t="n"/>
      <c r="G61" s="35" t="n"/>
      <c r="H61" s="35" t="n"/>
      <c r="I61" s="35" t="n"/>
      <c r="J61" s="35" t="n"/>
      <c r="K61" s="35" t="n"/>
      <c r="L61" s="35" t="n"/>
      <c r="M61" s="35" t="n"/>
      <c r="N61" s="35" t="n"/>
      <c r="O61" s="35" t="n"/>
    </row>
    <row r="62" s="32">
      <c r="A62" s="35" t="n"/>
      <c r="B62" s="35" t="n"/>
      <c r="C62" s="35" t="n"/>
      <c r="D62" s="35" t="n"/>
      <c r="E62" s="35" t="n"/>
      <c r="F62" s="35" t="n"/>
      <c r="G62" s="35" t="n"/>
      <c r="H62" s="35" t="n"/>
      <c r="I62" s="35" t="n"/>
      <c r="J62" s="35" t="n"/>
      <c r="K62" s="35" t="n"/>
      <c r="L62" s="35" t="n"/>
      <c r="M62" s="35" t="n"/>
      <c r="N62" s="35" t="n"/>
      <c r="O62" s="35" t="n"/>
    </row>
    <row r="63" s="32">
      <c r="A63" s="35" t="n"/>
      <c r="B63" s="35" t="n"/>
      <c r="C63" s="35" t="n"/>
      <c r="D63" s="35" t="n"/>
      <c r="E63" s="35" t="n"/>
      <c r="F63" s="35" t="n"/>
      <c r="G63" s="35" t="n"/>
      <c r="H63" s="35" t="n"/>
      <c r="I63" s="35" t="n"/>
      <c r="J63" s="35" t="n"/>
      <c r="K63" s="35" t="n"/>
      <c r="L63" s="35" t="n"/>
      <c r="M63" s="35" t="n"/>
      <c r="N63" s="35" t="n"/>
      <c r="O63" s="35" t="n"/>
    </row>
    <row r="64" s="32">
      <c r="A64" s="35" t="n"/>
      <c r="B64" s="35" t="n"/>
      <c r="C64" s="35" t="n"/>
      <c r="D64" s="35" t="n"/>
      <c r="E64" s="35" t="n"/>
      <c r="F64" s="35" t="n"/>
      <c r="G64" s="35" t="n"/>
      <c r="H64" s="35" t="n"/>
      <c r="I64" s="35" t="n"/>
      <c r="J64" s="35" t="n"/>
      <c r="K64" s="35" t="n"/>
      <c r="L64" s="35" t="n"/>
      <c r="M64" s="35" t="n"/>
      <c r="N64" s="35" t="n"/>
      <c r="O64" s="35" t="n"/>
    </row>
    <row r="65" s="32">
      <c r="A65" s="35" t="n"/>
      <c r="B65" s="35" t="n"/>
      <c r="C65" s="35" t="n"/>
      <c r="D65" s="35" t="n"/>
      <c r="E65" s="35" t="n"/>
      <c r="F65" s="35" t="n"/>
      <c r="G65" s="35" t="n"/>
      <c r="H65" s="35" t="n"/>
      <c r="I65" s="35" t="n"/>
      <c r="J65" s="35" t="n"/>
      <c r="K65" s="35" t="n"/>
      <c r="L65" s="35" t="n"/>
      <c r="M65" s="35" t="n"/>
      <c r="N65" s="35" t="n"/>
      <c r="O65" s="35" t="n"/>
    </row>
    <row r="66" s="32">
      <c r="A66" s="35" t="n"/>
      <c r="B66" s="35" t="n"/>
      <c r="C66" s="35" t="n"/>
      <c r="D66" s="35" t="n"/>
      <c r="E66" s="35" t="n"/>
      <c r="F66" s="35" t="n"/>
      <c r="G66" s="35" t="n"/>
      <c r="H66" s="35" t="n"/>
      <c r="I66" s="35" t="n"/>
      <c r="J66" s="35" t="n"/>
      <c r="K66" s="35" t="n"/>
      <c r="L66" s="35" t="n"/>
      <c r="M66" s="35" t="n"/>
      <c r="N66" s="35" t="n"/>
      <c r="O66" s="35" t="n"/>
    </row>
    <row r="67" s="32">
      <c r="A67" s="35" t="n"/>
      <c r="B67" s="35" t="n"/>
      <c r="C67" s="35" t="n"/>
      <c r="D67" s="35" t="n"/>
      <c r="E67" s="35" t="n"/>
      <c r="F67" s="35" t="n"/>
      <c r="G67" s="35" t="n"/>
      <c r="H67" s="35" t="n"/>
      <c r="I67" s="35" t="n"/>
      <c r="J67" s="35" t="n"/>
      <c r="K67" s="35" t="n"/>
      <c r="L67" s="35" t="n"/>
      <c r="M67" s="35" t="n"/>
      <c r="N67" s="35" t="n"/>
      <c r="O67" s="35" t="n"/>
    </row>
    <row r="68" s="32">
      <c r="A68" s="35" t="n"/>
      <c r="B68" s="35" t="n"/>
      <c r="C68" s="35" t="n"/>
      <c r="D68" s="35" t="n"/>
      <c r="E68" s="35" t="n"/>
      <c r="F68" s="35" t="n"/>
      <c r="G68" s="35" t="n"/>
      <c r="H68" s="35" t="n"/>
      <c r="I68" s="35" t="n"/>
      <c r="J68" s="35" t="n"/>
      <c r="K68" s="35" t="n"/>
      <c r="L68" s="35" t="n"/>
      <c r="M68" s="35" t="n"/>
      <c r="N68" s="35" t="n"/>
      <c r="O68" s="35" t="n"/>
    </row>
    <row r="69" s="32">
      <c r="A69" s="35" t="n"/>
      <c r="B69" s="35" t="n"/>
      <c r="C69" s="35" t="n"/>
      <c r="D69" s="35" t="n"/>
      <c r="E69" s="35" t="n"/>
      <c r="F69" s="35" t="n"/>
      <c r="G69" s="35" t="n"/>
      <c r="H69" s="35" t="n"/>
      <c r="I69" s="35" t="n"/>
      <c r="J69" s="35" t="n"/>
      <c r="K69" s="35" t="n"/>
      <c r="L69" s="35" t="n"/>
      <c r="M69" s="35" t="n"/>
      <c r="N69" s="35" t="n"/>
      <c r="O69" s="35" t="n"/>
    </row>
    <row r="70" s="32">
      <c r="A70" s="35" t="n"/>
      <c r="B70" s="35" t="n"/>
      <c r="C70" s="35" t="n"/>
      <c r="D70" s="35" t="n"/>
      <c r="E70" s="35" t="n"/>
      <c r="F70" s="35" t="n"/>
      <c r="G70" s="35" t="n"/>
      <c r="H70" s="35" t="n"/>
      <c r="I70" s="35" t="n"/>
      <c r="J70" s="35" t="n"/>
      <c r="K70" s="35" t="n"/>
      <c r="L70" s="35" t="n"/>
      <c r="M70" s="35" t="n"/>
      <c r="N70" s="35" t="n"/>
      <c r="O70" s="35" t="n"/>
    </row>
    <row r="71" s="32">
      <c r="A71" s="35" t="n"/>
      <c r="B71" s="35" t="n"/>
      <c r="C71" s="35" t="n"/>
      <c r="D71" s="35" t="n"/>
      <c r="E71" s="35" t="n"/>
      <c r="F71" s="35" t="n"/>
      <c r="G71" s="35" t="n"/>
      <c r="H71" s="35" t="n"/>
      <c r="I71" s="35" t="n"/>
      <c r="J71" s="35" t="n"/>
      <c r="K71" s="35" t="n"/>
      <c r="L71" s="35" t="n"/>
      <c r="M71" s="35" t="n"/>
      <c r="N71" s="35" t="n"/>
      <c r="O71" s="35" t="n"/>
    </row>
    <row r="72" s="32">
      <c r="A72" s="35" t="n"/>
      <c r="B72" s="35" t="n"/>
      <c r="C72" s="35" t="n"/>
      <c r="D72" s="35" t="n"/>
      <c r="E72" s="35" t="n"/>
      <c r="F72" s="35" t="n"/>
      <c r="G72" s="35" t="n"/>
      <c r="H72" s="35" t="n"/>
      <c r="I72" s="35" t="n"/>
      <c r="J72" s="35" t="n"/>
      <c r="K72" s="35" t="n"/>
      <c r="L72" s="35" t="n"/>
      <c r="M72" s="35" t="n"/>
      <c r="N72" s="35" t="n"/>
      <c r="O72" s="35" t="n"/>
    </row>
    <row r="73" s="32">
      <c r="A73" s="35" t="n"/>
      <c r="B73" s="35" t="n"/>
      <c r="C73" s="35" t="n"/>
      <c r="D73" s="35" t="n"/>
      <c r="E73" s="35" t="n"/>
      <c r="F73" s="35" t="n"/>
      <c r="G73" s="35" t="n"/>
      <c r="H73" s="35" t="n"/>
      <c r="I73" s="35" t="n"/>
      <c r="J73" s="35" t="n"/>
      <c r="K73" s="35" t="n"/>
      <c r="L73" s="35" t="n"/>
      <c r="M73" s="35" t="n"/>
      <c r="N73" s="35" t="n"/>
      <c r="O73" s="35" t="n"/>
    </row>
    <row r="74" s="32">
      <c r="A74" s="35" t="n"/>
      <c r="B74" s="35" t="n"/>
      <c r="C74" s="35" t="n"/>
      <c r="D74" s="35" t="n"/>
      <c r="E74" s="35" t="n"/>
      <c r="F74" s="35" t="n"/>
      <c r="G74" s="35" t="n"/>
      <c r="H74" s="35" t="n"/>
      <c r="I74" s="35" t="n"/>
      <c r="J74" s="35" t="n"/>
      <c r="K74" s="35" t="n"/>
      <c r="L74" s="35" t="n"/>
      <c r="M74" s="35" t="n"/>
      <c r="N74" s="35" t="n"/>
      <c r="O74" s="35" t="n"/>
    </row>
    <row r="75" s="32">
      <c r="A75" s="35" t="n"/>
      <c r="B75" s="35" t="n"/>
      <c r="C75" s="35" t="n"/>
      <c r="D75" s="35" t="n"/>
      <c r="E75" s="35" t="n"/>
      <c r="F75" s="35" t="n"/>
      <c r="G75" s="35" t="n"/>
      <c r="H75" s="35" t="n"/>
      <c r="I75" s="35" t="n"/>
      <c r="J75" s="35" t="n"/>
      <c r="K75" s="35" t="n"/>
      <c r="L75" s="35" t="n"/>
      <c r="M75" s="35" t="n"/>
      <c r="N75" s="35" t="n"/>
      <c r="O75" s="35" t="n"/>
    </row>
    <row r="76" s="32">
      <c r="A76" s="35" t="n"/>
      <c r="B76" s="35" t="n"/>
      <c r="C76" s="35" t="n"/>
      <c r="D76" s="35" t="n"/>
      <c r="E76" s="35" t="n"/>
      <c r="F76" s="35" t="n"/>
      <c r="G76" s="35" t="n"/>
      <c r="H76" s="35" t="n"/>
      <c r="I76" s="35" t="n"/>
      <c r="J76" s="35" t="n"/>
      <c r="K76" s="35" t="n"/>
      <c r="L76" s="35" t="n"/>
      <c r="M76" s="35" t="n"/>
      <c r="N76" s="35" t="n"/>
      <c r="O76" s="35" t="n"/>
    </row>
    <row r="77" s="32">
      <c r="A77" s="35" t="n"/>
      <c r="B77" s="35" t="n"/>
      <c r="C77" s="35" t="n"/>
      <c r="D77" s="35" t="n"/>
      <c r="E77" s="35" t="n"/>
      <c r="F77" s="35" t="n"/>
      <c r="G77" s="35" t="n"/>
      <c r="H77" s="35" t="n"/>
      <c r="I77" s="35" t="n"/>
      <c r="J77" s="35" t="n"/>
      <c r="K77" s="35" t="n"/>
      <c r="L77" s="35" t="n"/>
      <c r="M77" s="35" t="n"/>
      <c r="N77" s="35" t="n"/>
      <c r="O77" s="35" t="n"/>
    </row>
  </sheetData>
  <mergeCells count="7">
    <mergeCell ref="A43:O43"/>
    <mergeCell ref="A52:O52"/>
    <mergeCell ref="A10:O10"/>
    <mergeCell ref="A37:O37"/>
    <mergeCell ref="A46:O46"/>
    <mergeCell ref="A50:O50"/>
    <mergeCell ref="A30:O30"/>
  </mergeCells>
  <conditionalFormatting sqref="L11 L12 L13 L14 L15 L16 L17 L18 L19 L20 L21 L22 L23 L24 L25 L26 L27 L28 L29 L31 L32 L33 L34 L35 L36 L38 L39 L40 L41 L42 L44 L45 L47 L48 L49 L51 L53 L54 L55 L56 L57">
    <cfRule type="containsText" priority="13" operator="containsText" dxfId="12" text="Passed">
      <formula>NOT(ISERROR(SEARCH("Passed",L11)))</formula>
    </cfRule>
    <cfRule type="containsText" priority="14" operator="containsText" dxfId="13" text="Failed">
      <formula>NOT(ISERROR(SEARCH("Failed",L11)))</formula>
    </cfRule>
    <cfRule type="containsText" priority="15" operator="containsText" dxfId="14" text="Pending">
      <formula>NOT(ISERROR(SEARCH("Pending",L11)))</formula>
    </cfRule>
    <cfRule type="containsText" priority="16" operator="containsText" dxfId="3" text="Blocked">
      <formula>NOT(ISERROR(SEARCH("Blocked",L11)))</formula>
    </cfRule>
  </conditionalFormatting>
  <dataValidations count="1">
    <dataValidation sqref="L11 L12 L13 L14 L15 L16 L17 L18 L19 L20 L21 L22 L23 L24 L25 L26 L27 L28 L29 L31 L32 L33 L34 L35 L36 L38 L39 L40 L41 L42 L44 L45 L47 L48 L49 L51 L53 L54 L55 L56 L57" showDropDown="0" showInputMessage="0" showErrorMessage="0" allowBlank="1" type="list">
      <formula1>"Passed,Failed,Pending,Blocked,Not test"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2026-06-10T09:22:26Z</dcterms:created>
  <dcterms:modified xmlns:dcterms="http://purl.org/dc/terms/" xmlns:xsi="http://www.w3.org/2001/XMLSchema-instance" xsi:type="dcterms:W3CDTF">2026-07-28T09:48:12Z</dcterms:modified>
  <cp:lastModifiedBy>Kieu Anh (TECHVIFY.D1)</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0x01010085E0FFA8BC67C04FA808A66F8AA4AC89</vt:lpwstr>
  </property>
  <property name="MediaServiceImageTags" fmtid="{D5CDD505-2E9C-101B-9397-08002B2CF9AE}" pid="3">
    <vt:lpwstr xmlns:vt="http://schemas.openxmlformats.org/officeDocument/2006/docPropsVTypes"/>
  </property>
</Properties>
</file>