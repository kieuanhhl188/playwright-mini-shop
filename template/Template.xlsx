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laywright\template\"/>
    </mc:Choice>
  </mc:AlternateContent>
  <xr:revisionPtr revIDLastSave="0" documentId="13_ncr:1_{ACD927D2-72FE-4BB6-8732-BC512D912549}" xr6:coauthVersionLast="47" xr6:coauthVersionMax="47" xr10:uidLastSave="{00000000-0000-0000-0000-000000000000}"/>
  <bookViews>
    <workbookView xWindow="-109" yWindow="-109" windowWidth="26301" windowHeight="14169" activeTab="3" xr2:uid="{00000000-000D-0000-FFFF-FFFF00000000}"/>
  </bookViews>
  <sheets>
    <sheet name="Summary" sheetId="1" r:id="rId1"/>
    <sheet name="Config" sheetId="2" r:id="rId2"/>
    <sheet name="RTM (Detail BRD)" sheetId="3" r:id="rId3"/>
    <sheet name="a. Access Manageme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H16" i="1"/>
  <c r="G16" i="1"/>
  <c r="F16" i="1"/>
  <c r="E16" i="1"/>
  <c r="J15" i="1"/>
  <c r="I15" i="1"/>
  <c r="H15" i="1"/>
  <c r="G15" i="1"/>
  <c r="F15" i="1"/>
  <c r="E15" i="1"/>
  <c r="J14" i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J10" i="1"/>
  <c r="I10" i="1"/>
  <c r="H10" i="1"/>
  <c r="G10" i="1"/>
  <c r="F10" i="1"/>
  <c r="E10" i="1"/>
  <c r="J9" i="1"/>
  <c r="I9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J6" i="4"/>
  <c r="J5" i="4"/>
  <c r="J4" i="4"/>
  <c r="J3" i="4"/>
  <c r="J2" i="4"/>
  <c r="J7" i="4" l="1"/>
  <c r="F2" i="4" s="1"/>
  <c r="E17" i="1"/>
  <c r="F17" i="1"/>
  <c r="G17" i="1"/>
  <c r="H17" i="1"/>
  <c r="I17" i="1"/>
  <c r="J17" i="1"/>
  <c r="F4" i="4" l="1"/>
  <c r="F3" i="4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F1" i="4" l="1"/>
  <c r="C7" i="1" s="1"/>
  <c r="D7" i="1" s="1"/>
  <c r="K7" i="1" s="1"/>
  <c r="L8" i="1"/>
  <c r="K8" i="1"/>
  <c r="L15" i="1"/>
  <c r="K15" i="1"/>
  <c r="L14" i="1"/>
  <c r="K14" i="1"/>
  <c r="L13" i="1"/>
  <c r="K13" i="1"/>
  <c r="L16" i="1"/>
  <c r="K16" i="1"/>
  <c r="L9" i="1"/>
  <c r="K9" i="1"/>
  <c r="L10" i="1"/>
  <c r="K10" i="1"/>
  <c r="L11" i="1"/>
  <c r="K11" i="1"/>
  <c r="L12" i="1"/>
  <c r="K12" i="1"/>
  <c r="C17" i="1" l="1"/>
  <c r="G3" i="4"/>
  <c r="L7" i="1"/>
  <c r="G4" i="4"/>
  <c r="D17" i="1"/>
  <c r="L17" i="1" s="1"/>
  <c r="G1" i="4"/>
  <c r="G2" i="4"/>
  <c r="K17" i="1" l="1"/>
</calcChain>
</file>

<file path=xl/sharedStrings.xml><?xml version="1.0" encoding="utf-8"?>
<sst xmlns="http://schemas.openxmlformats.org/spreadsheetml/2006/main" count="97" uniqueCount="74">
  <si>
    <t>Project</t>
  </si>
  <si>
    <t>GPP Administration</t>
  </si>
  <si>
    <t>Document</t>
  </si>
  <si>
    <t>Generated</t>
  </si>
  <si>
    <t>2026-06-10</t>
  </si>
  <si>
    <t>Author</t>
  </si>
  <si>
    <t>GPP QA Team</t>
  </si>
  <si>
    <t>Sub-module</t>
  </si>
  <si>
    <t>Stories</t>
  </si>
  <si>
    <t>Test Cases</t>
  </si>
  <si>
    <t>In Scope</t>
  </si>
  <si>
    <t>Passed</t>
  </si>
  <si>
    <t>Failed</t>
  </si>
  <si>
    <t>Pending</t>
  </si>
  <si>
    <t>Blocked</t>
  </si>
  <si>
    <t>Not test</t>
  </si>
  <si>
    <t>Blank</t>
  </si>
  <si>
    <t>% Progress</t>
  </si>
  <si>
    <t>% Pass Rate</t>
  </si>
  <si>
    <t>TOTAL</t>
  </si>
  <si>
    <t>Lookup</t>
  </si>
  <si>
    <t>Values</t>
  </si>
  <si>
    <t>Priority</t>
  </si>
  <si>
    <t>High</t>
  </si>
  <si>
    <t>Medium</t>
  </si>
  <si>
    <t>Low</t>
  </si>
  <si>
    <t>Status</t>
  </si>
  <si>
    <t>Browser</t>
  </si>
  <si>
    <t>Chrome (latest)</t>
  </si>
  <si>
    <t>Safari (latest)</t>
  </si>
  <si>
    <t>Firefox (latest)</t>
  </si>
  <si>
    <t>Edge (latest)</t>
  </si>
  <si>
    <t>Default user</t>
  </si>
  <si>
    <t>alex@gpp.com (Platform Administrator)</t>
  </si>
  <si>
    <t>Roles</t>
  </si>
  <si>
    <t>Platform Administrator (Alex)</t>
  </si>
  <si>
    <t>Operations Coordinator (Sandra)</t>
  </si>
  <si>
    <t>Platform Configuration Manager (Rachel)</t>
  </si>
  <si>
    <t>Vendor &amp; Access Administrator (James)</t>
  </si>
  <si>
    <t>Integration Coordinator (Priya)</t>
  </si>
  <si>
    <t>Internal_Administration_brd.md — detail-BRD traceability</t>
  </si>
  <si>
    <t>Detail Story ID</t>
  </si>
  <si>
    <t>Title</t>
  </si>
  <si>
    <t>Coverage</t>
  </si>
  <si>
    <t>Sheet</t>
  </si>
  <si>
    <t>Overview Equivalent</t>
  </si>
  <si>
    <t>Project task</t>
  </si>
  <si>
    <t>Total</t>
  </si>
  <si>
    <t>Result</t>
  </si>
  <si>
    <t>Uploaded Date</t>
  </si>
  <si>
    <t>StoriesID</t>
  </si>
  <si>
    <t>Test cases ID</t>
  </si>
  <si>
    <t>Description</t>
  </si>
  <si>
    <t>Pre-Condition</t>
  </si>
  <si>
    <t>Test Steps</t>
  </si>
  <si>
    <t>Test Data</t>
  </si>
  <si>
    <t>Expected Result</t>
  </si>
  <si>
    <t>Actual Result</t>
  </si>
  <si>
    <t>PIC Test</t>
  </si>
  <si>
    <t>PIC Dev</t>
  </si>
  <si>
    <t>EVD</t>
  </si>
  <si>
    <t>Bug ID</t>
  </si>
  <si>
    <t>US-UAM-01 — View All User-Brand Associations</t>
  </si>
  <si>
    <t>Project name</t>
  </si>
  <si>
    <t>Sub-module name 1</t>
  </si>
  <si>
    <t>Sub-module name 2</t>
  </si>
  <si>
    <t>Sub-module name 3</t>
  </si>
  <si>
    <t>Sub-module name 4</t>
  </si>
  <si>
    <t>Sub-module name 5</t>
  </si>
  <si>
    <t>Sub-module name 6</t>
  </si>
  <si>
    <t>Sub-module name 7</t>
  </si>
  <si>
    <t>Sub-module name 8</t>
  </si>
  <si>
    <t>Sub-module name 9</t>
  </si>
  <si>
    <t>Sub-module name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</si>
</sst>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833C0C"/>
      <name val="Calibri"/>
    </font>
    <font>
      <sz val="10"/>
      <name val="Calibri"/>
    </font>
    <font>
      <b/>
      <sz val="11"/>
      <color rgb="FF000000"/>
      <name val="Cambria"/>
      <scheme val="major"/>
    </font>
    <font>
      <sz val="11"/>
      <color rgb="FF000000"/>
      <name val="Cambria"/>
      <scheme val="major"/>
    </font>
    <font>
      <b/>
      <sz val="10"/>
      <color rgb="FF000000"/>
      <name val="Cambria"/>
      <scheme val="major"/>
    </font>
    <font>
      <sz val="10"/>
      <color rgb="FF000000"/>
      <name val="Cambria"/>
      <scheme val="major"/>
    </font>
    <font>
      <b/>
      <sz val="11"/>
      <color theme="1"/>
      <name val="Cambria"/>
      <scheme val="major"/>
    </font>
    <font>
      <sz val="11"/>
      <color theme="1"/>
      <name val="Cambria"/>
      <scheme val="maj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FE599"/>
        <bgColor rgb="FF000000"/>
      </patternFill>
    </fill>
    <fill>
      <patternFill patternType="solid">
        <fgColor rgb="FFFFE599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/>
      <right/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vertical="top" wrapText="1" readingOrder="1"/>
    </xf>
    <xf numFmtId="0" fontId="6" fillId="6" borderId="3" xfId="0" applyFont="1" applyFill="1" applyBorder="1" applyAlignment="1">
      <alignment vertical="center" wrapText="1" readingOrder="1"/>
    </xf>
    <xf numFmtId="9" fontId="6" fillId="6" borderId="4" xfId="0" applyNumberFormat="1" applyFont="1" applyFill="1" applyBorder="1" applyAlignment="1">
      <alignment vertical="center" wrapText="1" readingOrder="1"/>
    </xf>
    <xf numFmtId="0" fontId="7" fillId="5" borderId="2" xfId="0" applyFont="1" applyFill="1" applyBorder="1" applyAlignment="1">
      <alignment vertical="top" wrapText="1" readingOrder="1"/>
    </xf>
    <xf numFmtId="0" fontId="8" fillId="6" borderId="3" xfId="0" applyFont="1" applyFill="1" applyBorder="1" applyAlignment="1">
      <alignment vertical="center" wrapText="1" readingOrder="1"/>
    </xf>
    <xf numFmtId="9" fontId="8" fillId="6" borderId="4" xfId="0" applyNumberFormat="1" applyFont="1" applyFill="1" applyBorder="1" applyAlignment="1">
      <alignment vertical="center" wrapText="1" readingOrder="1"/>
    </xf>
    <xf numFmtId="0" fontId="9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  <xf numFmtId="0" fontId="12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1" fillId="0" borderId="1" xfId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0" fillId="0" borderId="8" xfId="0" applyBorder="1"/>
    <xf numFmtId="0" fontId="3" fillId="4" borderId="0" xfId="0" applyFont="1" applyFill="1" applyAlignment="1">
      <alignment horizontal="left" vertical="center"/>
    </xf>
    <xf numFmtId="0" fontId="0" fillId="0" borderId="0" xfId="0"/>
    <xf numFmtId="0" fontId="1" fillId="8" borderId="2" xfId="0" applyFont="1" applyFill="1" applyBorder="1"/>
    <xf numFmtId="0" fontId="1" fillId="2" borderId="2" xfId="0" applyFont="1" applyFill="1" applyBorder="1"/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0" fontId="13" fillId="0" borderId="2" xfId="0" applyFont="1" applyBorder="1"/>
    <xf numFmtId="164" fontId="13" fillId="0" borderId="2" xfId="0" applyNumberFormat="1" applyFont="1" applyBorder="1"/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C88F45-769D-4433-8F3D-6F221BE6715D}">
  <we:reference id="WA200009404" version="1.0.0.8" store="vi-vn" storeType="omex"/>
  <we:alternateReferences>
    <we:reference id="WA200009404" version="1.0.0.8" store="vi-vn" storeType="omex"/>
  </we:alternateReferences>
  <we:properties>
    <we:property name="claude.fileId" value="&quot;d3ca43bd-4b77-4345-bbfc-4b55a4e191d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C21" sqref="C21"/>
    </sheetView>
  </sheetViews>
  <sheetFormatPr defaultRowHeight="14.3" x14ac:dyDescent="0.25"/>
  <cols>
    <col min="1" max="1" width="40" customWidth="1"/>
    <col min="2" max="2" width="12" customWidth="1"/>
    <col min="3" max="3" width="14" customWidth="1"/>
    <col min="4" max="4" width="8.625" bestFit="1" customWidth="1"/>
    <col min="5" max="5" width="7.25" bestFit="1" customWidth="1"/>
    <col min="6" max="6" width="6.375" bestFit="1" customWidth="1"/>
    <col min="7" max="7" width="8.25" bestFit="1" customWidth="1"/>
    <col min="8" max="8" width="8.125" bestFit="1" customWidth="1"/>
    <col min="9" max="9" width="8.25" bestFit="1" customWidth="1"/>
    <col min="10" max="10" width="6.125" bestFit="1" customWidth="1"/>
    <col min="11" max="11" width="10.875" bestFit="1" customWidth="1"/>
    <col min="12" max="12" width="11.75" bestFit="1" customWidth="1"/>
  </cols>
  <sheetData>
    <row r="1" spans="1:12" x14ac:dyDescent="0.25">
      <c r="A1" s="31" t="s">
        <v>0</v>
      </c>
      <c r="B1" s="32" t="s">
        <v>63</v>
      </c>
    </row>
    <row r="2" spans="1:12" x14ac:dyDescent="0.25">
      <c r="A2" s="31" t="s">
        <v>2</v>
      </c>
      <c r="B2" s="32"/>
    </row>
    <row r="3" spans="1:12" x14ac:dyDescent="0.25">
      <c r="A3" s="31" t="s">
        <v>3</v>
      </c>
      <c r="B3" s="32" t="s">
        <v>4</v>
      </c>
    </row>
    <row r="4" spans="1:12" x14ac:dyDescent="0.25">
      <c r="A4" s="31" t="s">
        <v>5</v>
      </c>
      <c r="B4" s="32" t="s">
        <v>6</v>
      </c>
    </row>
    <row r="6" spans="1:12" x14ac:dyDescent="0.25">
      <c r="A6" s="2" t="s">
        <v>7</v>
      </c>
      <c r="B6" s="2" t="s">
        <v>8</v>
      </c>
      <c r="C6" s="2" t="s">
        <v>9</v>
      </c>
      <c r="D6" s="25" t="s">
        <v>10</v>
      </c>
      <c r="E6" s="24" t="s">
        <v>11</v>
      </c>
      <c r="F6" s="24" t="s">
        <v>12</v>
      </c>
      <c r="G6" s="24" t="s">
        <v>13</v>
      </c>
      <c r="H6" s="24" t="s">
        <v>14</v>
      </c>
      <c r="I6" s="24" t="s">
        <v>15</v>
      </c>
      <c r="J6" s="24" t="s">
        <v>16</v>
      </c>
      <c r="K6" s="24" t="s">
        <v>17</v>
      </c>
      <c r="L6" s="24" t="s">
        <v>18</v>
      </c>
    </row>
    <row r="7" spans="1:12" x14ac:dyDescent="0.25">
      <c r="A7" s="30" t="s">
        <v>64</v>
      </c>
      <c r="B7" s="32">
        <v>7</v>
      </c>
      <c r="C7" s="32">
        <f>'a. Access Management'!F1</f>
        <v>0</v>
      </c>
      <c r="D7" s="32">
        <f t="shared" ref="D7:D16" si="0">C7-I7</f>
        <v>0</v>
      </c>
      <c r="E7" s="32">
        <f>COUNTIF('a. Access Management'!L:L,"Passed")</f>
        <v>0</v>
      </c>
      <c r="F7" s="32">
        <f>COUNTIF('a. Access Management'!L:L,"Failed")</f>
        <v>0</v>
      </c>
      <c r="G7" s="32">
        <f>COUNTIF('a. Access Management'!L:L,"Pending")</f>
        <v>0</v>
      </c>
      <c r="H7" s="32">
        <f>COUNTIF('a. Access Management'!L:L,"Blocked")</f>
        <v>0</v>
      </c>
      <c r="I7" s="32">
        <f>COUNTIF('a. Access Management'!L:L,"Not test")</f>
        <v>0</v>
      </c>
      <c r="J7" s="32">
        <f>COUNTIFS('a. Access Management'!B:B,"TC-*",'a. Access Management'!L:L,"")</f>
        <v>0</v>
      </c>
      <c r="K7" s="33" t="str">
        <f t="shared" ref="K7:K17" si="1">IF(D7=0,"N/A",(E7+F7+H7)/D7)</f>
        <v>N/A</v>
      </c>
      <c r="L7" s="33" t="str">
        <f t="shared" ref="L7:L17" si="2">IF(D7=0,"N/A",E7/D7)</f>
        <v>N/A</v>
      </c>
    </row>
    <row r="8" spans="1:12" x14ac:dyDescent="0.25">
      <c r="A8" s="30" t="s">
        <v>65</v>
      </c>
      <c r="B8" s="32">
        <v>5</v>
      </c>
      <c r="C8" s="32" t="e">
        <f>#REF!</f>
        <v>#REF!</v>
      </c>
      <c r="D8" s="32" t="e">
        <f t="shared" si="0"/>
        <v>#REF!</v>
      </c>
      <c r="E8" s="32" t="e">
        <f>COUNTIF(#REF!,"Passed")</f>
        <v>#REF!</v>
      </c>
      <c r="F8" s="32" t="e">
        <f>COUNTIF(#REF!,"Failed")</f>
        <v>#REF!</v>
      </c>
      <c r="G8" s="32" t="e">
        <f>COUNTIF(#REF!,"Pending")</f>
        <v>#REF!</v>
      </c>
      <c r="H8" s="32" t="e">
        <f>COUNTIF(#REF!,"Blocked")</f>
        <v>#REF!</v>
      </c>
      <c r="I8" s="32" t="e">
        <f>COUNTIF(#REF!,"Not test")</f>
        <v>#REF!</v>
      </c>
      <c r="J8" s="32" t="e">
        <f>COUNTIFS(#REF!,"TC-*",#REF!,"")</f>
        <v>#REF!</v>
      </c>
      <c r="K8" s="33" t="e">
        <f t="shared" si="1"/>
        <v>#REF!</v>
      </c>
      <c r="L8" s="33" t="e">
        <f t="shared" si="2"/>
        <v>#REF!</v>
      </c>
    </row>
    <row r="9" spans="1:12" x14ac:dyDescent="0.25">
      <c r="A9" s="30" t="s">
        <v>66</v>
      </c>
      <c r="B9" s="32">
        <v>7</v>
      </c>
      <c r="C9" s="32" t="e">
        <f>#REF!</f>
        <v>#REF!</v>
      </c>
      <c r="D9" s="32" t="e">
        <f t="shared" si="0"/>
        <v>#REF!</v>
      </c>
      <c r="E9" s="32" t="e">
        <f>COUNTIF(#REF!,"Passed")</f>
        <v>#REF!</v>
      </c>
      <c r="F9" s="32" t="e">
        <f>COUNTIF(#REF!,"Failed")</f>
        <v>#REF!</v>
      </c>
      <c r="G9" s="32" t="e">
        <f>COUNTIF(#REF!,"Pending")</f>
        <v>#REF!</v>
      </c>
      <c r="H9" s="32" t="e">
        <f>COUNTIF(#REF!,"Blocked")</f>
        <v>#REF!</v>
      </c>
      <c r="I9" s="32" t="e">
        <f>COUNTIF(#REF!,"Not test")</f>
        <v>#REF!</v>
      </c>
      <c r="J9" s="32" t="e">
        <f>COUNTIFS(#REF!,"TC-*",#REF!,"")</f>
        <v>#REF!</v>
      </c>
      <c r="K9" s="33" t="e">
        <f t="shared" si="1"/>
        <v>#REF!</v>
      </c>
      <c r="L9" s="33" t="e">
        <f t="shared" si="2"/>
        <v>#REF!</v>
      </c>
    </row>
    <row r="10" spans="1:12" x14ac:dyDescent="0.25">
      <c r="A10" s="30" t="s">
        <v>67</v>
      </c>
      <c r="B10" s="32">
        <v>7</v>
      </c>
      <c r="C10" s="32" t="e">
        <f>#REF!</f>
        <v>#REF!</v>
      </c>
      <c r="D10" s="32" t="e">
        <f t="shared" si="0"/>
        <v>#REF!</v>
      </c>
      <c r="E10" s="32" t="e">
        <f>COUNTIF(#REF!,"Passed")</f>
        <v>#REF!</v>
      </c>
      <c r="F10" s="32" t="e">
        <f>COUNTIF(#REF!,"Failed")</f>
        <v>#REF!</v>
      </c>
      <c r="G10" s="32" t="e">
        <f>COUNTIF(#REF!,"Pending")</f>
        <v>#REF!</v>
      </c>
      <c r="H10" s="32" t="e">
        <f>COUNTIF(#REF!,"Blocked")</f>
        <v>#REF!</v>
      </c>
      <c r="I10" s="32" t="e">
        <f>COUNTIF(#REF!,"Not test")</f>
        <v>#REF!</v>
      </c>
      <c r="J10" s="32" t="e">
        <f>COUNTIFS(#REF!,"TC-*",#REF!,"")</f>
        <v>#REF!</v>
      </c>
      <c r="K10" s="33" t="e">
        <f t="shared" si="1"/>
        <v>#REF!</v>
      </c>
      <c r="L10" s="33" t="e">
        <f t="shared" si="2"/>
        <v>#REF!</v>
      </c>
    </row>
    <row r="11" spans="1:12" x14ac:dyDescent="0.25">
      <c r="A11" s="30" t="s">
        <v>68</v>
      </c>
      <c r="B11" s="32">
        <v>6</v>
      </c>
      <c r="C11" s="32" t="e">
        <f>#REF!</f>
        <v>#REF!</v>
      </c>
      <c r="D11" s="32" t="e">
        <f t="shared" si="0"/>
        <v>#REF!</v>
      </c>
      <c r="E11" s="32" t="e">
        <f>COUNTIF(#REF!,"Passed")</f>
        <v>#REF!</v>
      </c>
      <c r="F11" s="32" t="e">
        <f>COUNTIF(#REF!,"Failed")</f>
        <v>#REF!</v>
      </c>
      <c r="G11" s="32" t="e">
        <f>COUNTIF(#REF!,"Pending")</f>
        <v>#REF!</v>
      </c>
      <c r="H11" s="32" t="e">
        <f>COUNTIF(#REF!,"Blocked")</f>
        <v>#REF!</v>
      </c>
      <c r="I11" s="32" t="e">
        <f>COUNTIF(#REF!,"Not test")</f>
        <v>#REF!</v>
      </c>
      <c r="J11" s="32" t="e">
        <f>COUNTIFS(#REF!,"TC-*",#REF!,"")</f>
        <v>#REF!</v>
      </c>
      <c r="K11" s="33" t="e">
        <f t="shared" si="1"/>
        <v>#REF!</v>
      </c>
      <c r="L11" s="33" t="e">
        <f t="shared" si="2"/>
        <v>#REF!</v>
      </c>
    </row>
    <row r="12" spans="1:12" x14ac:dyDescent="0.25">
      <c r="A12" s="30" t="s">
        <v>69</v>
      </c>
      <c r="B12" s="32">
        <v>13</v>
      </c>
      <c r="C12" s="32" t="e">
        <f>#REF!</f>
        <v>#REF!</v>
      </c>
      <c r="D12" s="32" t="e">
        <f t="shared" si="0"/>
        <v>#REF!</v>
      </c>
      <c r="E12" s="32" t="e">
        <f>COUNTIF(#REF!,"Passed")</f>
        <v>#REF!</v>
      </c>
      <c r="F12" s="32" t="e">
        <f>COUNTIF(#REF!,"Failed")</f>
        <v>#REF!</v>
      </c>
      <c r="G12" s="32" t="e">
        <f>COUNTIF(#REF!,"Pending")</f>
        <v>#REF!</v>
      </c>
      <c r="H12" s="32" t="e">
        <f>COUNTIF(#REF!,"Blocked")</f>
        <v>#REF!</v>
      </c>
      <c r="I12" s="32" t="e">
        <f>COUNTIF(#REF!,"Not test")</f>
        <v>#REF!</v>
      </c>
      <c r="J12" s="32" t="e">
        <f>COUNTIFS(#REF!,"TC-*",#REF!,"")</f>
        <v>#REF!</v>
      </c>
      <c r="K12" s="33" t="e">
        <f t="shared" si="1"/>
        <v>#REF!</v>
      </c>
      <c r="L12" s="33" t="e">
        <f t="shared" si="2"/>
        <v>#REF!</v>
      </c>
    </row>
    <row r="13" spans="1:12" x14ac:dyDescent="0.25">
      <c r="A13" s="30" t="s">
        <v>70</v>
      </c>
      <c r="B13" s="32">
        <v>5</v>
      </c>
      <c r="C13" s="32" t="e">
        <f>#REF!</f>
        <v>#REF!</v>
      </c>
      <c r="D13" s="32" t="e">
        <f t="shared" si="0"/>
        <v>#REF!</v>
      </c>
      <c r="E13" s="32" t="e">
        <f>COUNTIF(#REF!,"Passed")</f>
        <v>#REF!</v>
      </c>
      <c r="F13" s="32" t="e">
        <f>COUNTIF(#REF!,"Failed")</f>
        <v>#REF!</v>
      </c>
      <c r="G13" s="32" t="e">
        <f>COUNTIF(#REF!,"Pending")</f>
        <v>#REF!</v>
      </c>
      <c r="H13" s="32" t="e">
        <f>COUNTIF(#REF!,"Blocked")</f>
        <v>#REF!</v>
      </c>
      <c r="I13" s="32" t="e">
        <f>COUNTIF(#REF!,"Not test")</f>
        <v>#REF!</v>
      </c>
      <c r="J13" s="32" t="e">
        <f>COUNTIFS(#REF!,"TC-*",#REF!,"")</f>
        <v>#REF!</v>
      </c>
      <c r="K13" s="33" t="e">
        <f t="shared" si="1"/>
        <v>#REF!</v>
      </c>
      <c r="L13" s="33" t="e">
        <f t="shared" si="2"/>
        <v>#REF!</v>
      </c>
    </row>
    <row r="14" spans="1:12" x14ac:dyDescent="0.25">
      <c r="A14" s="30" t="s">
        <v>71</v>
      </c>
      <c r="B14" s="32">
        <v>5</v>
      </c>
      <c r="C14" s="32" t="e">
        <f>#REF!</f>
        <v>#REF!</v>
      </c>
      <c r="D14" s="32" t="e">
        <f t="shared" si="0"/>
        <v>#REF!</v>
      </c>
      <c r="E14" s="32" t="e">
        <f>COUNTIF(#REF!,"Passed")</f>
        <v>#REF!</v>
      </c>
      <c r="F14" s="32" t="e">
        <f>COUNTIF(#REF!,"Failed")</f>
        <v>#REF!</v>
      </c>
      <c r="G14" s="32" t="e">
        <f>COUNTIF(#REF!,"Pending")</f>
        <v>#REF!</v>
      </c>
      <c r="H14" s="32" t="e">
        <f>COUNTIF(#REF!,"Blocked")</f>
        <v>#REF!</v>
      </c>
      <c r="I14" s="32" t="e">
        <f>COUNTIF(#REF!,"Not test")</f>
        <v>#REF!</v>
      </c>
      <c r="J14" s="32" t="e">
        <f>COUNTIFS(#REF!,"TC-*",#REF!,"")</f>
        <v>#REF!</v>
      </c>
      <c r="K14" s="33" t="e">
        <f t="shared" si="1"/>
        <v>#REF!</v>
      </c>
      <c r="L14" s="33" t="e">
        <f t="shared" si="2"/>
        <v>#REF!</v>
      </c>
    </row>
    <row r="15" spans="1:12" x14ac:dyDescent="0.25">
      <c r="A15" s="30" t="s">
        <v>72</v>
      </c>
      <c r="B15" s="32">
        <v>11</v>
      </c>
      <c r="C15" s="32" t="e">
        <f>#REF!</f>
        <v>#REF!</v>
      </c>
      <c r="D15" s="32" t="e">
        <f t="shared" si="0"/>
        <v>#REF!</v>
      </c>
      <c r="E15" s="32" t="e">
        <f>COUNTIF(#REF!,"Passed")</f>
        <v>#REF!</v>
      </c>
      <c r="F15" s="32" t="e">
        <f>COUNTIF(#REF!,"Failed")</f>
        <v>#REF!</v>
      </c>
      <c r="G15" s="32" t="e">
        <f>COUNTIF(#REF!,"Pending")</f>
        <v>#REF!</v>
      </c>
      <c r="H15" s="32" t="e">
        <f>COUNTIF(#REF!,"Blocked")</f>
        <v>#REF!</v>
      </c>
      <c r="I15" s="32" t="e">
        <f>COUNTIF(#REF!,"Not test")</f>
        <v>#REF!</v>
      </c>
      <c r="J15" s="32" t="e">
        <f>COUNTIFS(#REF!,"TC-*",#REF!,"")</f>
        <v>#REF!</v>
      </c>
      <c r="K15" s="33" t="e">
        <f t="shared" si="1"/>
        <v>#REF!</v>
      </c>
      <c r="L15" s="33" t="e">
        <f t="shared" si="2"/>
        <v>#REF!</v>
      </c>
    </row>
    <row r="16" spans="1:12" x14ac:dyDescent="0.25">
      <c r="A16" s="30" t="s">
        <v>73</v>
      </c>
      <c r="B16" s="32">
        <v>9</v>
      </c>
      <c r="C16" s="32" t="e">
        <f>#REF!</f>
        <v>#REF!</v>
      </c>
      <c r="D16" s="32" t="e">
        <f t="shared" si="0"/>
        <v>#REF!</v>
      </c>
      <c r="E16" s="32" t="e">
        <f>COUNTIF(#REF!,"Passed")</f>
        <v>#REF!</v>
      </c>
      <c r="F16" s="32" t="e">
        <f>COUNTIF(#REF!,"Failed")</f>
        <v>#REF!</v>
      </c>
      <c r="G16" s="32" t="e">
        <f>COUNTIF(#REF!,"Pending")</f>
        <v>#REF!</v>
      </c>
      <c r="H16" s="32" t="e">
        <f>COUNTIF(#REF!,"Blocked")</f>
        <v>#REF!</v>
      </c>
      <c r="I16" s="32" t="e">
        <f>COUNTIF(#REF!,"Not test")</f>
        <v>#REF!</v>
      </c>
      <c r="J16" s="32" t="e">
        <f>COUNTIFS(#REF!,"TC-*",#REF!,"")</f>
        <v>#REF!</v>
      </c>
      <c r="K16" s="33" t="e">
        <f t="shared" si="1"/>
        <v>#REF!</v>
      </c>
      <c r="L16" s="33" t="e">
        <f t="shared" si="2"/>
        <v>#REF!</v>
      </c>
    </row>
    <row r="17" spans="1:12" x14ac:dyDescent="0.25">
      <c r="A17" s="34" t="s">
        <v>19</v>
      </c>
      <c r="B17" s="34">
        <v>75</v>
      </c>
      <c r="C17" s="34" t="e">
        <f t="shared" ref="C17:J17" si="3">SUM(C7:C16)</f>
        <v>#REF!</v>
      </c>
      <c r="D17" s="34" t="e">
        <f t="shared" si="3"/>
        <v>#REF!</v>
      </c>
      <c r="E17" s="35" t="e">
        <f t="shared" si="3"/>
        <v>#REF!</v>
      </c>
      <c r="F17" s="35" t="e">
        <f t="shared" si="3"/>
        <v>#REF!</v>
      </c>
      <c r="G17" s="35" t="e">
        <f t="shared" si="3"/>
        <v>#REF!</v>
      </c>
      <c r="H17" s="35" t="e">
        <f t="shared" si="3"/>
        <v>#REF!</v>
      </c>
      <c r="I17" s="35" t="e">
        <f t="shared" si="3"/>
        <v>#REF!</v>
      </c>
      <c r="J17" s="35" t="e">
        <f t="shared" si="3"/>
        <v>#REF!</v>
      </c>
      <c r="K17" s="36" t="e">
        <f t="shared" si="1"/>
        <v>#REF!</v>
      </c>
      <c r="L17" s="36" t="e">
        <f t="shared" si="2"/>
        <v>#REF!</v>
      </c>
    </row>
  </sheetData>
  <phoneticPr fontId="14" type="noConversion"/>
  <conditionalFormatting sqref="K7:K17">
    <cfRule type="colorScale" priority="1">
      <colorScale>
        <cfvo type="min"/>
        <cfvo type="percent" val="50"/>
        <cfvo type="max"/>
        <color rgb="FFFF0000"/>
        <color rgb="FFFFEB84"/>
        <color rgb="FF63BE7B"/>
      </colorScale>
    </cfRule>
  </conditionalFormatting>
  <conditionalFormatting sqref="L7:L17">
    <cfRule type="colorScale" priority="2">
      <colorScale>
        <cfvo type="min"/>
        <cfvo type="percent" val="50"/>
        <cfvo type="max"/>
        <color rgb="FFFF0000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A2" sqref="A2"/>
    </sheetView>
  </sheetViews>
  <sheetFormatPr defaultRowHeight="14.3" x14ac:dyDescent="0.25"/>
  <cols>
    <col min="1" max="1" width="18" customWidth="1"/>
    <col min="2" max="9" width="38" customWidth="1"/>
  </cols>
  <sheetData>
    <row r="1" spans="1:6" x14ac:dyDescent="0.25">
      <c r="A1" s="2" t="s">
        <v>20</v>
      </c>
      <c r="B1" s="2" t="s">
        <v>21</v>
      </c>
    </row>
    <row r="2" spans="1:6" x14ac:dyDescent="0.25">
      <c r="A2" s="3" t="s">
        <v>22</v>
      </c>
      <c r="B2" t="s">
        <v>23</v>
      </c>
      <c r="C2" t="s">
        <v>24</v>
      </c>
      <c r="D2" t="s">
        <v>25</v>
      </c>
    </row>
    <row r="3" spans="1:6" x14ac:dyDescent="0.25">
      <c r="A3" s="3" t="s">
        <v>26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s="3" t="s">
        <v>27</v>
      </c>
      <c r="B4" t="s">
        <v>28</v>
      </c>
      <c r="C4" t="s">
        <v>29</v>
      </c>
      <c r="D4" t="s">
        <v>30</v>
      </c>
      <c r="E4" t="s">
        <v>31</v>
      </c>
    </row>
    <row r="5" spans="1:6" x14ac:dyDescent="0.25">
      <c r="A5" s="3" t="s">
        <v>32</v>
      </c>
      <c r="B5" t="s">
        <v>33</v>
      </c>
    </row>
    <row r="6" spans="1:6" x14ac:dyDescent="0.25">
      <c r="A6" s="3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5" topLeftCell="A60" activePane="bottomLeft" state="frozen"/>
      <selection pane="bottomLeft" activeCell="B81" sqref="B81"/>
    </sheetView>
  </sheetViews>
  <sheetFormatPr defaultRowHeight="14.3" x14ac:dyDescent="0.25"/>
  <cols>
    <col min="1" max="1" width="16" customWidth="1"/>
    <col min="2" max="2" width="58" customWidth="1"/>
    <col min="3" max="3" width="12" customWidth="1"/>
    <col min="4" max="5" width="30" customWidth="1"/>
  </cols>
  <sheetData>
    <row r="1" spans="1:5" x14ac:dyDescent="0.25">
      <c r="A1" s="1" t="s">
        <v>0</v>
      </c>
      <c r="B1" t="s">
        <v>1</v>
      </c>
    </row>
    <row r="2" spans="1:5" x14ac:dyDescent="0.25">
      <c r="A2" s="1" t="s">
        <v>2</v>
      </c>
      <c r="B2" t="s">
        <v>40</v>
      </c>
    </row>
    <row r="3" spans="1:5" x14ac:dyDescent="0.25">
      <c r="A3" s="1" t="s">
        <v>3</v>
      </c>
      <c r="B3" t="s">
        <v>4</v>
      </c>
    </row>
    <row r="5" spans="1:5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7"/>
  <sheetViews>
    <sheetView tabSelected="1" workbookViewId="0">
      <pane ySplit="9" topLeftCell="A10" activePane="bottomLeft" state="frozen"/>
      <selection pane="bottomLeft" activeCell="B12" sqref="B12"/>
    </sheetView>
  </sheetViews>
  <sheetFormatPr defaultRowHeight="14.3" x14ac:dyDescent="0.25"/>
  <cols>
    <col min="1" max="1" width="16" customWidth="1"/>
    <col min="2" max="2" width="18" customWidth="1"/>
    <col min="3" max="3" width="55" customWidth="1"/>
    <col min="4" max="4" width="45" customWidth="1"/>
    <col min="5" max="5" width="16" customWidth="1"/>
    <col min="6" max="6" width="60" customWidth="1"/>
    <col min="7" max="7" width="45" customWidth="1"/>
    <col min="8" max="8" width="60" customWidth="1"/>
    <col min="9" max="9" width="30" customWidth="1"/>
    <col min="10" max="10" width="10" customWidth="1"/>
    <col min="11" max="13" width="12" customWidth="1"/>
    <col min="14" max="14" width="10" customWidth="1"/>
    <col min="15" max="15" width="12" customWidth="1"/>
  </cols>
  <sheetData>
    <row r="1" spans="1:15" x14ac:dyDescent="0.25">
      <c r="A1" s="1" t="s">
        <v>46</v>
      </c>
      <c r="B1" s="1" t="s">
        <v>1</v>
      </c>
      <c r="E1" s="6" t="s">
        <v>47</v>
      </c>
      <c r="F1" s="7">
        <f>SUM(F2:F4)</f>
        <v>0</v>
      </c>
      <c r="G1" s="8" t="e">
        <f>F1/$F$1</f>
        <v>#DIV/0!</v>
      </c>
      <c r="I1" s="1" t="s">
        <v>48</v>
      </c>
      <c r="J1" s="1"/>
    </row>
    <row r="2" spans="1:15" x14ac:dyDescent="0.25">
      <c r="A2" s="1" t="s">
        <v>49</v>
      </c>
      <c r="B2" t="s">
        <v>4</v>
      </c>
      <c r="E2" s="9" t="s">
        <v>23</v>
      </c>
      <c r="F2" s="10">
        <f>COUNTIF($J$5:$J$970,E2)</f>
        <v>0</v>
      </c>
      <c r="G2" s="11" t="e">
        <f>F2/$F$1</f>
        <v>#DIV/0!</v>
      </c>
      <c r="I2" s="12" t="s">
        <v>11</v>
      </c>
      <c r="J2" s="13">
        <f>COUNTIF($L:$L,I2)</f>
        <v>0</v>
      </c>
    </row>
    <row r="3" spans="1:15" x14ac:dyDescent="0.25">
      <c r="E3" s="9" t="s">
        <v>24</v>
      </c>
      <c r="F3" s="10">
        <f>COUNTIF($J$5:$J$970,E3)</f>
        <v>0</v>
      </c>
      <c r="G3" s="11" t="e">
        <f>F3/$F$1</f>
        <v>#DIV/0!</v>
      </c>
      <c r="I3" s="12" t="s">
        <v>12</v>
      </c>
      <c r="J3" s="13">
        <f>COUNTIF($L:$L,I3)</f>
        <v>0</v>
      </c>
    </row>
    <row r="4" spans="1:15" x14ac:dyDescent="0.25">
      <c r="E4" s="9" t="s">
        <v>25</v>
      </c>
      <c r="F4" s="10">
        <f>COUNTIF($J$5:$J$970,E4)</f>
        <v>0</v>
      </c>
      <c r="G4" s="11" t="e">
        <f>F4/$F$1</f>
        <v>#DIV/0!</v>
      </c>
      <c r="I4" s="12" t="s">
        <v>13</v>
      </c>
      <c r="J4" s="13">
        <f>COUNTIF($L:$L,I4)</f>
        <v>0</v>
      </c>
    </row>
    <row r="5" spans="1:15" x14ac:dyDescent="0.25">
      <c r="I5" s="12" t="s">
        <v>14</v>
      </c>
      <c r="J5" s="13">
        <f>COUNTIF($L:$L,I5)</f>
        <v>0</v>
      </c>
    </row>
    <row r="6" spans="1:15" x14ac:dyDescent="0.25">
      <c r="I6" s="14" t="s">
        <v>15</v>
      </c>
      <c r="J6" s="13">
        <f>COUNTIF($L:$L,I6)</f>
        <v>0</v>
      </c>
    </row>
    <row r="7" spans="1:15" ht="0.7" customHeight="1" x14ac:dyDescent="0.25">
      <c r="I7" s="12" t="s">
        <v>47</v>
      </c>
      <c r="J7" s="15">
        <f>SUM(J2:J6)</f>
        <v>0</v>
      </c>
    </row>
    <row r="8" spans="1:15" x14ac:dyDescent="0.25">
      <c r="I8" s="20"/>
      <c r="J8" s="21"/>
    </row>
    <row r="9" spans="1:15" ht="30.1" customHeight="1" x14ac:dyDescent="0.25">
      <c r="A9" s="4" t="s">
        <v>50</v>
      </c>
      <c r="B9" s="4" t="s">
        <v>51</v>
      </c>
      <c r="C9" s="4" t="s">
        <v>52</v>
      </c>
      <c r="D9" s="4" t="s">
        <v>53</v>
      </c>
      <c r="E9" s="4" t="s">
        <v>27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22</v>
      </c>
      <c r="K9" s="4" t="s">
        <v>58</v>
      </c>
      <c r="L9" s="4" t="s">
        <v>26</v>
      </c>
      <c r="M9" s="4" t="s">
        <v>59</v>
      </c>
      <c r="N9" s="4" t="s">
        <v>60</v>
      </c>
      <c r="O9" s="4" t="s">
        <v>61</v>
      </c>
    </row>
    <row r="10" spans="1:15" ht="21.9" customHeight="1" x14ac:dyDescent="0.25">
      <c r="A10" s="28" t="s">
        <v>62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75.099999999999994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75.099999999999994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75.099999999999994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75.099999999999994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75.099999999999994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2"/>
      <c r="O15" s="5"/>
    </row>
    <row r="16" spans="1:15" ht="75.099999999999994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75.099999999999994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75.099999999999994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2"/>
      <c r="O18" s="5"/>
    </row>
    <row r="19" spans="1:15" ht="75.099999999999994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75.099999999999994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75.099999999999994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75.099999999999994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75.099999999999994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75.099999999999994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75.099999999999994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75.099999999999994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75.099999999999994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5"/>
      <c r="K27" s="5"/>
      <c r="L27" s="5"/>
      <c r="M27" s="5"/>
      <c r="N27" s="5"/>
      <c r="O27" s="5"/>
    </row>
    <row r="28" spans="1:15" s="19" customFormat="1" ht="75.099999999999994" customHeight="1" x14ac:dyDescent="0.25">
      <c r="A28" s="18"/>
      <c r="B28" s="18"/>
      <c r="C28" s="18"/>
      <c r="D28" s="18"/>
      <c r="E28" s="18"/>
      <c r="F28" s="18"/>
      <c r="G28" s="18"/>
      <c r="H28" s="18"/>
      <c r="J28" s="18"/>
      <c r="K28" s="16"/>
      <c r="L28" s="5"/>
      <c r="M28" s="16"/>
      <c r="N28" s="16"/>
      <c r="O28" s="16"/>
    </row>
    <row r="29" spans="1:15" s="19" customFormat="1" ht="75.099999999999994" customHeight="1" x14ac:dyDescent="0.25">
      <c r="A29" s="18"/>
      <c r="B29" s="18"/>
      <c r="C29" s="18"/>
      <c r="D29" s="18"/>
      <c r="E29" s="18"/>
      <c r="F29" s="18"/>
      <c r="G29" s="18"/>
      <c r="H29" s="18"/>
      <c r="J29" s="18"/>
      <c r="K29" s="16"/>
      <c r="L29" s="5"/>
      <c r="M29" s="16"/>
      <c r="N29" s="16"/>
      <c r="O29" s="16"/>
    </row>
    <row r="30" spans="1:15" s="19" customFormat="1" ht="75.099999999999994" customHeight="1" x14ac:dyDescent="0.25">
      <c r="A30" s="18"/>
      <c r="B30" s="18"/>
      <c r="C30" s="18"/>
      <c r="D30" s="18"/>
      <c r="E30" s="18"/>
      <c r="F30" s="18"/>
      <c r="G30" s="18"/>
      <c r="H30" s="18"/>
      <c r="J30" s="18"/>
      <c r="K30" s="16"/>
      <c r="L30" s="5"/>
      <c r="M30" s="16"/>
      <c r="N30" s="16"/>
      <c r="O30" s="16"/>
    </row>
    <row r="31" spans="1:15" s="19" customFormat="1" ht="75.099999999999994" customHeight="1" x14ac:dyDescent="0.25">
      <c r="A31" s="18"/>
      <c r="B31" s="18"/>
      <c r="C31" s="18"/>
      <c r="D31" s="18"/>
      <c r="E31" s="18"/>
      <c r="F31" s="18"/>
      <c r="G31" s="18"/>
      <c r="H31" s="18"/>
      <c r="J31" s="18"/>
      <c r="K31" s="16"/>
      <c r="L31" s="5"/>
      <c r="M31" s="16"/>
      <c r="N31" s="16"/>
      <c r="O31" s="16"/>
    </row>
    <row r="32" spans="1:15" s="19" customFormat="1" ht="75.099999999999994" customHeight="1" x14ac:dyDescent="0.25">
      <c r="A32" s="18"/>
      <c r="B32" s="18"/>
      <c r="C32" s="18"/>
      <c r="D32" s="18"/>
      <c r="E32" s="18"/>
      <c r="F32" s="18"/>
      <c r="G32" s="18"/>
      <c r="H32" s="18"/>
      <c r="J32" s="18"/>
      <c r="K32" s="16"/>
      <c r="L32" s="5"/>
      <c r="M32" s="16"/>
      <c r="N32" s="16"/>
      <c r="O32" s="16"/>
    </row>
    <row r="33" spans="1:15" ht="21.9" customHeight="1" x14ac:dyDescent="0.2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75.099999999999994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75.099999999999994" customHeight="1" x14ac:dyDescent="0.25">
      <c r="A35" s="5"/>
      <c r="B35" s="5"/>
      <c r="C35" s="5"/>
      <c r="D35" s="5"/>
      <c r="E35" s="5"/>
      <c r="F35" s="5"/>
      <c r="G35" s="5"/>
      <c r="H35" s="5"/>
      <c r="I35" s="23"/>
      <c r="J35" s="5"/>
      <c r="K35" s="5"/>
      <c r="L35" s="5"/>
      <c r="M35" s="5"/>
      <c r="N35" s="22"/>
      <c r="O35" s="5"/>
    </row>
    <row r="36" spans="1:15" ht="75.099999999999994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75.099999999999994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ht="75.099999999999994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75.099999999999994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21.9" customHeight="1" x14ac:dyDescent="0.2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75.099999999999994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2"/>
      <c r="O41" s="5"/>
    </row>
    <row r="42" spans="1:15" ht="75.099999999999994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75.099999999999994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75.099999999999994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75.099999999999994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75.099999999999994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21.9" customHeight="1" x14ac:dyDescent="0.2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1:15" ht="75.099999999999994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75.099999999999994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75.099999999999994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22"/>
      <c r="O50" s="5"/>
    </row>
    <row r="51" spans="1:15" ht="75.099999999999994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75.099999999999994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75.099999999999994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75.099999999999994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75.099999999999994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75.099999999999994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75.099999999999994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21.9" customHeight="1" x14ac:dyDescent="0.2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spans="1:15" ht="75.099999999999994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75.099999999999994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75.099999999999994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21.9" customHeight="1" x14ac:dyDescent="0.2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spans="1:15" ht="75.099999999999994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75.099999999999994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75.099999999999994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75.099999999999994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75.099999999999994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75.099999999999994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21.9" customHeight="1" x14ac:dyDescent="0.25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spans="1:15" ht="75.099999999999994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75.099999999999994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75.099999999999994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75.099999999999994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75.099999999999994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75.099999999999994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75.099999999999994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75.099999999999994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</sheetData>
  <mergeCells count="7">
    <mergeCell ref="A40:O40"/>
    <mergeCell ref="A69:O69"/>
    <mergeCell ref="A62:O62"/>
    <mergeCell ref="A10:O10"/>
    <mergeCell ref="A58:O58"/>
    <mergeCell ref="A33:O33"/>
    <mergeCell ref="A47:O47"/>
  </mergeCells>
  <conditionalFormatting sqref="L11:L32 L34:L39">
    <cfRule type="containsText" dxfId="11" priority="13" operator="containsText" text="Blocked">
      <formula>NOT(ISERROR(SEARCH("Blocked",L11)))</formula>
    </cfRule>
    <cfRule type="containsText" dxfId="10" priority="14" operator="containsText" text="Pending">
      <formula>NOT(ISERROR(SEARCH("Pending",L11)))</formula>
    </cfRule>
    <cfRule type="containsText" dxfId="9" priority="15" operator="containsText" text="Failed">
      <formula>NOT(ISERROR(SEARCH("Failed",L11)))</formula>
    </cfRule>
    <cfRule type="containsText" dxfId="8" priority="16" operator="containsText" text="Passed">
      <formula>NOT(ISERROR(SEARCH("Passed",L11)))</formula>
    </cfRule>
  </conditionalFormatting>
  <conditionalFormatting sqref="L41:L46">
    <cfRule type="containsText" dxfId="7" priority="5" operator="containsText" text="Blocked">
      <formula>NOT(ISERROR(SEARCH("Blocked",L41)))</formula>
    </cfRule>
    <cfRule type="containsText" dxfId="6" priority="6" operator="containsText" text="Pending">
      <formula>NOT(ISERROR(SEARCH("Pending",L41)))</formula>
    </cfRule>
    <cfRule type="containsText" dxfId="5" priority="7" operator="containsText" text="Failed">
      <formula>NOT(ISERROR(SEARCH("Failed",L41)))</formula>
    </cfRule>
    <cfRule type="containsText" dxfId="4" priority="8" operator="containsText" text="Passed">
      <formula>NOT(ISERROR(SEARCH("Passed",L41)))</formula>
    </cfRule>
  </conditionalFormatting>
  <conditionalFormatting sqref="L48:L57">
    <cfRule type="containsText" dxfId="3" priority="1" operator="containsText" text="Blocked">
      <formula>NOT(ISERROR(SEARCH("Blocked",L48)))</formula>
    </cfRule>
    <cfRule type="containsText" dxfId="2" priority="2" operator="containsText" text="Pending">
      <formula>NOT(ISERROR(SEARCH("Pending",L48)))</formula>
    </cfRule>
    <cfRule type="containsText" dxfId="1" priority="3" operator="containsText" text="Failed">
      <formula>NOT(ISERROR(SEARCH("Failed",L48)))</formula>
    </cfRule>
    <cfRule type="containsText" dxfId="0" priority="4" operator="containsText" text="Passed">
      <formula>NOT(ISERROR(SEARCH("Passed",L48)))</formula>
    </cfRule>
  </conditionalFormatting>
  <dataValidations count="1">
    <dataValidation type="list" allowBlank="1" showInputMessage="1" showErrorMessage="1" sqref="L11:L32 L34:L39 L41:L46 L48:L57" xr:uid="{2A3307E6-C605-4C61-858A-3C64955B89C7}">
      <formula1>"Passed,Failed,Pending,Blocked,Not test"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0FFA8BC67C04FA808A66F8AA4AC89" ma:contentTypeVersion="16" ma:contentTypeDescription="Create a new document." ma:contentTypeScope="" ma:versionID="4fb15e306fabcad1d5449123032da1fe">
  <xsd:schema xmlns:xsd="http://www.w3.org/2001/XMLSchema" xmlns:xs="http://www.w3.org/2001/XMLSchema" xmlns:p="http://schemas.microsoft.com/office/2006/metadata/properties" xmlns:ns2="8449ae91-dccb-4777-ab63-ca97fcf52e1c" xmlns:ns3="94a5f08c-f190-4aff-8e4c-063de6e29824" targetNamespace="http://schemas.microsoft.com/office/2006/metadata/properties" ma:root="true" ma:fieldsID="5c9d028d14b999a0dff958b518de8b73" ns2:_="" ns3:_="">
    <xsd:import namespace="8449ae91-dccb-4777-ab63-ca97fcf52e1c"/>
    <xsd:import namespace="94a5f08c-f190-4aff-8e4c-063de6e298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9ae91-dccb-4777-ab63-ca97fcf52e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9721a5-a9a1-4a47-84a3-093ea37a2b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5f08c-f190-4aff-8e4c-063de6e298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3d83f1-3fc2-461b-a5a6-0b6edfa13830}" ma:internalName="TaxCatchAll" ma:showField="CatchAllData" ma:web="94a5f08c-f190-4aff-8e4c-063de6e298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9ae91-dccb-4777-ab63-ca97fcf52e1c">
      <Terms xmlns="http://schemas.microsoft.com/office/infopath/2007/PartnerControls"/>
    </lcf76f155ced4ddcb4097134ff3c332f>
    <TaxCatchAll xmlns="94a5f08c-f190-4aff-8e4c-063de6e298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3F6E0E-D408-4CE6-9E73-CE50A90B0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49ae91-dccb-4777-ab63-ca97fcf52e1c"/>
    <ds:schemaRef ds:uri="94a5f08c-f190-4aff-8e4c-063de6e29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8FBD68-EDB2-40B0-B669-0A328B832106}">
  <ds:schemaRefs>
    <ds:schemaRef ds:uri="http://schemas.microsoft.com/office/2006/metadata/properties"/>
    <ds:schemaRef ds:uri="http://schemas.microsoft.com/office/infopath/2007/PartnerControls"/>
    <ds:schemaRef ds:uri="8449ae91-dccb-4777-ab63-ca97fcf52e1c"/>
    <ds:schemaRef ds:uri="94a5f08c-f190-4aff-8e4c-063de6e29824"/>
  </ds:schemaRefs>
</ds:datastoreItem>
</file>

<file path=customXml/itemProps3.xml><?xml version="1.0" encoding="utf-8"?>
<ds:datastoreItem xmlns:ds="http://schemas.openxmlformats.org/officeDocument/2006/customXml" ds:itemID="{1752FB0A-89A9-480D-B37A-A06BD1362B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Config</vt:lpstr>
      <vt:lpstr>RTM (Detail BRD)</vt:lpstr>
      <vt:lpstr>a. Access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Kieu Anh (TECHVIFY.D1)</cp:lastModifiedBy>
  <cp:revision/>
  <dcterms:created xsi:type="dcterms:W3CDTF">2026-06-10T09:22:26Z</dcterms:created>
  <dcterms:modified xsi:type="dcterms:W3CDTF">2026-07-30T03:15:40Z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0x01010085E0FFA8BC67C04FA808A66F8AA4AC89</vt:lpwstr>
  </property>
  <property fmtid="{D5CDD505-2E9C-101B-9397-08002B2CF9AE}" pid="3" name="MediaServiceImageTags">
    <vt:lpwstr/>
  </property>
</Properties>
</file>