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Playwright\specs\"/>
    </mc:Choice>
  </mc:AlternateContent>
  <xr:revisionPtr revIDLastSave="0" documentId="13_ncr:1_{ABBB4F5D-799D-4D08-9236-07E587609317}" xr6:coauthVersionLast="47" xr6:coauthVersionMax="47" xr10:uidLastSave="{00000000-0000-0000-0000-000000000000}"/>
  <bookViews>
    <workbookView xWindow="-109" yWindow="-109" windowWidth="26301" windowHeight="14169" activeTab="4" xr2:uid="{00000000-000D-0000-FFFF-FFFF00000000}"/>
  </bookViews>
  <sheets>
    <sheet name="Summary" sheetId="1" r:id="rId1"/>
    <sheet name="Config" sheetId="2" r:id="rId2"/>
    <sheet name="RTM (Detail BRD)" sheetId="3" r:id="rId3"/>
    <sheet name="a. Customer Account Creation" sheetId="4" r:id="rId4"/>
    <sheet name="b. Customer Search"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5" l="1"/>
  <c r="J5" i="5"/>
  <c r="F4" i="5" s="1"/>
  <c r="J4" i="5"/>
  <c r="J3" i="5"/>
  <c r="J2" i="5"/>
  <c r="J7" i="5" s="1"/>
  <c r="F2" i="5" s="1"/>
  <c r="B17" i="1"/>
  <c r="J8" i="1"/>
  <c r="I8" i="1"/>
  <c r="H8" i="1"/>
  <c r="G8" i="1"/>
  <c r="F8" i="1"/>
  <c r="E8" i="1"/>
  <c r="J7" i="1"/>
  <c r="J17" i="1" s="1"/>
  <c r="I7" i="1"/>
  <c r="I17" i="1" s="1"/>
  <c r="H7" i="1"/>
  <c r="H17" i="1" s="1"/>
  <c r="G7" i="1"/>
  <c r="G17" i="1" s="1"/>
  <c r="F7" i="1"/>
  <c r="F17" i="1" s="1"/>
  <c r="E7" i="1"/>
  <c r="E17" i="1" s="1"/>
  <c r="J6" i="4"/>
  <c r="J5" i="4"/>
  <c r="F3" i="4" s="1"/>
  <c r="J4" i="4"/>
  <c r="J3" i="4"/>
  <c r="J2" i="4"/>
  <c r="J7" i="4" s="1"/>
  <c r="F4" i="4" s="1"/>
  <c r="F2" i="4" l="1"/>
  <c r="F3" i="5"/>
  <c r="F1" i="4" l="1"/>
  <c r="F1" i="5"/>
  <c r="G1" i="5" l="1"/>
  <c r="C8" i="1"/>
  <c r="D8" i="1" s="1"/>
  <c r="G4" i="5"/>
  <c r="G2" i="5"/>
  <c r="G3" i="5"/>
  <c r="G1" i="4"/>
  <c r="C7" i="1"/>
  <c r="G3" i="4"/>
  <c r="G4" i="4"/>
  <c r="G2" i="4"/>
  <c r="D7" i="1" l="1"/>
  <c r="C17" i="1"/>
  <c r="K8" i="1"/>
  <c r="L8" i="1"/>
  <c r="K7" i="1" l="1"/>
  <c r="D17" i="1"/>
  <c r="L7" i="1"/>
  <c r="L17" i="1" l="1"/>
  <c r="K17" i="1"/>
</calcChain>
</file>

<file path=xl/sharedStrings.xml><?xml version="1.0" encoding="utf-8"?>
<sst xmlns="http://schemas.openxmlformats.org/spreadsheetml/2006/main" count="1065" uniqueCount="620">
  <si>
    <t>Project task</t>
  </si>
  <si>
    <t>GPP Scan and Shop</t>
  </si>
  <si>
    <t>Total</t>
  </si>
  <si>
    <t>Result</t>
  </si>
  <si>
    <t>Uploaded Date</t>
  </si>
  <si>
    <t>2026-07-28</t>
  </si>
  <si>
    <t>High</t>
  </si>
  <si>
    <t>Passed</t>
  </si>
  <si>
    <t>Medium</t>
  </si>
  <si>
    <t>Failed</t>
  </si>
  <si>
    <t>Low</t>
  </si>
  <si>
    <t>Pending</t>
  </si>
  <si>
    <t>Blocked</t>
  </si>
  <si>
    <t>Not test</t>
  </si>
  <si>
    <t>StoriesID</t>
  </si>
  <si>
    <t>Test cases ID</t>
  </si>
  <si>
    <t>Description</t>
  </si>
  <si>
    <t>Pre-Condition</t>
  </si>
  <si>
    <t>Browser</t>
  </si>
  <si>
    <t>Test Steps</t>
  </si>
  <si>
    <t>Test Data</t>
  </si>
  <si>
    <t>Expected Result</t>
  </si>
  <si>
    <t>Actual Result</t>
  </si>
  <si>
    <t>Priority</t>
  </si>
  <si>
    <t>PIC Test</t>
  </si>
  <si>
    <t>Status</t>
  </si>
  <si>
    <t>PIC Dev</t>
  </si>
  <si>
    <t>EVD</t>
  </si>
  <si>
    <t>Bug ID</t>
  </si>
  <si>
    <t>Equivalence Partitioning — field partitions, defaults, uniqueness &amp; R5 checks</t>
  </si>
  <si>
    <t>US-CI-06</t>
  </si>
  <si>
    <t>TC-001</t>
  </si>
  <si>
    <t>Create customer with all valid mandatory fields and default Gender/Country
Technique: Equivalence Partitioning
Req: US-CI-06; Customer Detail §2 (Controls), §5.1 (Save Customer Details); FR-16, FR-11, FR-12</t>
  </si>
  <si>
    <t>Account Creation form open in Insert mode with brand context set (AS-03). No existing customer with the test email in the current brand.</t>
  </si>
  <si>
    <t>Chrome (latest)</t>
  </si>
  <si>
    <t>1. Enter First and Last Name.
2. Enter a valid, brand-unique Email.
3. Leave Gender and Country at defaults.
4. Click Save.</t>
  </si>
  <si>
    <t>First Name = "John"; Last Name = "Miller"; Email = "john.miller@example.com"; Gender = Male (default); Country = United States of America (default); optional fields blank.</t>
  </si>
  <si>
    <t>All 8 validations pass; the Customer is committed and stamped to the current brand (BrandID = CurrentOrderBrandID); a CustomerBrand link is created; UserParam.CurrentCustomerID is set to the new customer and the flow continues with that customer selected (AS-07).</t>
  </si>
  <si>
    <t>TC-002</t>
  </si>
  <si>
    <t>Reject creation when First Name is empty
Technique: Equivalence Partitioning
Req: Customer Detail §5.1 validation #50 "First Name Missing"; FR-04</t>
  </si>
  <si>
    <t>Account Creation form open in Insert mode (AS-03).</t>
  </si>
  <si>
    <t>1. Leave First Name empty.
2. Enter a valid Last Name and Email.
3. Click Save.</t>
  </si>
  <si>
    <t>First Name = "" (empty); Last Name = "Miller"; Email = "john.miller@example.com".</t>
  </si>
  <si>
    <t>Save is blocked by validation #50 "First Name Missing"; no customer is created; the user remains on the form (message text unspecified — RG-05).</t>
  </si>
  <si>
    <t>TC-003</t>
  </si>
  <si>
    <t>Reject creation when Last Name is empty
Technique: Equivalence Partitioning
Req: Customer Detail §5.1 validation #60 "Last Name Missing"; FR-05</t>
  </si>
  <si>
    <t>1. Enter a valid First Name and Email.
2. Leave Last Name empty.
3. Click Save.</t>
  </si>
  <si>
    <t>First Name = "John"; Last Name = "" (empty); Email = "john.miller@example.com".</t>
  </si>
  <si>
    <t>Save is blocked by validation #60 "Last Name Missing"; no customer is created; the user remains on the form.</t>
  </si>
  <si>
    <t>TC-004</t>
  </si>
  <si>
    <t>Reject creation when Email is empty (Email required)
Technique: Equivalence Partitioning
Req: Customer Detail §5.1 validation #30 "Email Address IS NULL"; FR-06</t>
  </si>
  <si>
    <t>1. Enter valid First and Last Name.
2. Leave Email empty.
3. Click Save.</t>
  </si>
  <si>
    <t>First Name = "John"; Last Name = "Miller"; Email = "" (empty).</t>
  </si>
  <si>
    <t>Save is blocked by validation #30 "Email Address IS NULL"; no customer is created; the user remains on the form.</t>
  </si>
  <si>
    <t>TC-005</t>
  </si>
  <si>
    <t>Reject creation when Email format is invalid
Technique: Equivalence Partitioning
Req: Customer Detail §5.1 validation #70 "email address format"; FR-07</t>
  </si>
  <si>
    <t>1. Enter valid First and Last Name.
2. Enter an Email that does not match a valid structure.
3. Click Save.</t>
  </si>
  <si>
    <t>First Name = "John"; Last Name = "Miller"; Email = "john.miller.example.com" (no @, invalid-format partition per AS-04).</t>
  </si>
  <si>
    <t>Save is blocked by validation #70 "email address format"; no customer is created; the user remains on the form.</t>
  </si>
  <si>
    <t>TC-006</t>
  </si>
  <si>
    <t>Accept a representative valid Email (valid-format partition)
Technique: Equivalence Partitioning
Req: Customer Detail §5.1 validations #30, #70; FR-07</t>
  </si>
  <si>
    <t>Account Creation form open in Insert mode (AS-03); email not already used in the current brand.</t>
  </si>
  <si>
    <t>1. Enter valid First and Last Name.
2. Enter a well-formed, brand-unique Email.
3. Click Save.</t>
  </si>
  <si>
    <t>First Name = "Amara"; Last Name = "Okafor"; Email = "amara.okafor@sub.example.co".</t>
  </si>
  <si>
    <t>Format (#70) and null (#30) checks pass; the customer is created and stamped to the brand (subject to RG-09 on the exact format definition).</t>
  </si>
  <si>
    <t>TC-007</t>
  </si>
  <si>
    <t>Create customer with all optional fields populated with valid data
Technique: Equivalence Partitioning
Req: Customer Detail §2 (optional Contact/Address fields), §5.1 actions #10/#20/#30; FR-02, FR-03, FR-13</t>
  </si>
  <si>
    <t>1. Enter all mandatory fields.
2. Populate every optional field with valid values (phones with 10 digits).
3. Click Save.</t>
  </si>
  <si>
    <t>Mandatory: First = "Lee", Last = "Tran", Email = "lee.tran@example.com". Optional: Title = "Mr"; Home Phone = "2025550100"; Mobile Country Code = "+1"; Mobile Phone = "2025550111"; Address = "10 Main St"; City = "Austin"; State = "TX"; Postal Code = "78701"; Country = United States of America.</t>
  </si>
  <si>
    <t>All validations pass; the customer is created with contact and address details persisted; phones and country code are normalised on Save (actions #10, #20, #30).</t>
  </si>
  <si>
    <t>TC-008</t>
  </si>
  <si>
    <t>Create customer with only mandatory fields (all optional fields blank)
Technique: Equivalence Partitioning
Req: Customer Detail §2 (optional fields); AS-02; FR-02, FR-03</t>
  </si>
  <si>
    <t>Account Creation form open in Insert mode (AS-03); phone minimum-digit rule assumed to apply only when a value is entered (AS-02, RG-03).</t>
  </si>
  <si>
    <t>1. Enter only the mandatory fields.
2. Leave Title, all phones, and all address fields blank.
3. Click Save.</t>
  </si>
  <si>
    <t>First = "Nina"; Last = "Roy"; Email = "nina.roy@example.com"; all optional fields blank; Gender/Country at defaults.</t>
  </si>
  <si>
    <t>Save succeeds; empty optional phone fields do not trigger the minimum-10-digit validations (AS-02); the customer is created and set as current.</t>
  </si>
  <si>
    <t>TC-009</t>
  </si>
  <si>
    <t>Create customer with a non-default valid Gender value
Technique: Equivalence Partitioning
Req: Customer Detail §2 (Gender, default Male); FR-11; RG-08</t>
  </si>
  <si>
    <t>Account Creation form open in Insert mode (AS-03); a non-default Gender value is available from Global Configuration (RG-08).</t>
  </si>
  <si>
    <t>1. Enter mandatory fields.
2. Change Gender from the default Male to another valid value.
3. Click Save.</t>
  </si>
  <si>
    <t>First = "Sara"; Last = "Kim"; Email = "sara.kim@example.com"; Gender = a valid non-default value (e.g., Female).</t>
  </si>
  <si>
    <t>The selected Gender is accepted and persisted with the created customer (dependent on RG-08 for the valid value set).</t>
  </si>
  <si>
    <t>TC-010</t>
  </si>
  <si>
    <t>Create customer with a non-default valid Country value
Technique: Equivalence Partitioning
Req: Customer Detail §2 (Country, default USA), §5.1 action #30; FR-12, FR-14; RG-08</t>
  </si>
  <si>
    <t>Account Creation form open in Insert mode (AS-03); Country list available (Rest Countries; RG-08).</t>
  </si>
  <si>
    <t>1. Enter mandatory fields.
2. Change Country from the default United States of America to another valid country.
3. Click Save.</t>
  </si>
  <si>
    <t>First = "Diego"; Last = "Alvarez"; Email = "diego.alvarez@example.com"; Country = a valid non-default value (e.g., Canada).</t>
  </si>
  <si>
    <t>The selected Country is accepted and persisted; the country-code normalisation action (#30) applies the corresponding brand/country code.</t>
  </si>
  <si>
    <t>TC-022</t>
  </si>
  <si>
    <t>Gender defaults to Male on form open
Technique: Equivalence Partitioning
Req: Customer Detail §2 (Gender default = Male); FR-11</t>
  </si>
  <si>
    <t>Account Creation form freshly opened in Insert mode (AS-03).</t>
  </si>
  <si>
    <t>1. Open the Account Creation form.
2. Observe the Gender field before any input.</t>
  </si>
  <si>
    <t>None (observe default state).</t>
  </si>
  <si>
    <t>Gender is pre-selected as Male by default (§2).</t>
  </si>
  <si>
    <t>TC-023</t>
  </si>
  <si>
    <t>Country defaults to United States of America on form open
Technique: Equivalence Partitioning
Req: Customer Detail §2 (Country default = United States of America); FR-12</t>
  </si>
  <si>
    <t>1. Open the Account Creation form.
2. Observe the Country field before any input.</t>
  </si>
  <si>
    <t>Country is pre-selected as United States of America by default (§2).</t>
  </si>
  <si>
    <t>TC-024</t>
  </si>
  <si>
    <t>Save with defaults unchanged persists Male and United States of America
Technique: Equivalence Partitioning
Req: Customer Detail §2 (defaults); FR-11, FR-12</t>
  </si>
  <si>
    <t>1. Enter mandatory fields only.
2. Do not change Gender or Country.
3. Click Save.</t>
  </si>
  <si>
    <t>First = "Grace"; Last = "Hall"; Email = "grace.hall@example.com"; Gender and Country left at defaults.</t>
  </si>
  <si>
    <t>The customer is created with Gender = Male and Country = United States of America persisted from the defaults.</t>
  </si>
  <si>
    <t>TC-025</t>
  </si>
  <si>
    <t>Duplicate email within the same brand is rejected
Technique: Equivalence Partitioning
Req: Customer Detail §5.1 validation #80; FR-08</t>
  </si>
  <si>
    <t>Account Creation form open in Insert mode (AS-03). An email E already exists for a customer in the current brand.</t>
  </si>
  <si>
    <t>1. Enter valid names.
2. Enter email E already used in this brand.
3. Click Save.</t>
  </si>
  <si>
    <t>First = "Paul"; Last = "Reed"; Email = E (duplicate in current brand).</t>
  </si>
  <si>
    <t>Validation #80 blocks Save; no second customer with email E is created in this brand.</t>
  </si>
  <si>
    <t>TC-026</t>
  </si>
  <si>
    <t>Same email under a different brand is allowed (brand-scoped uniqueness)
Technique: Equivalence Partitioning
Req: Customer Detail §5.1 validation #80, §3.1 (WHERE C.BrandID = CurrentOrderBrandID); FR-08; AS-05</t>
  </si>
  <si>
    <t>Email E exists for a customer under Brand A. The current order brand context is Brand B (AS-05). Form open in Insert mode for Brand B.</t>
  </si>
  <si>
    <t>1. Confirm the current order brand is Brand B (different from where E exists).
2. Enter valid names and email E.
3. Click Save.</t>
  </si>
  <si>
    <t>First = "Paul"; Last = "Reed"; Email = E; current brand = Brand B.</t>
  </si>
  <si>
    <t>Save succeeds; the duplicate-email validation is brand-scoped, so E may exist once per brand. Re-baseline if RG-13 clarification changes uniqueness scope.</t>
  </si>
  <si>
    <t>TC-027</t>
  </si>
  <si>
    <t>Mobile phone is normalised to the "(xxx) xxx-xxxx" format after Save
Technique: Equivalence Partitioning
Req: Customer Detail §5.1 action #20, §3.1 FormattedCellPhone; FR-13</t>
  </si>
  <si>
    <t>Account Creation form open in Insert mode (AS-03); normalisation expectation per AS-06.</t>
  </si>
  <si>
    <t>1. Enter mandatory fields and an unformatted 10-digit Mobile Phone.
2. Click Save.
3. Re-open/inspect the created customer's cell phone value.</t>
  </si>
  <si>
    <t>First = "Ivy"; Last = "Cole"; Email = "ivy.cole@example.com"; Mobile Phone entered as "2025550111" (unformatted 10 digits).</t>
  </si>
  <si>
    <t>Action #20 normalises the number; the stored/displayed cell phone renders as "(202) 555-0111" per the §3.1 formatting expression (AS-06).</t>
  </si>
  <si>
    <t>TC-028</t>
  </si>
  <si>
    <t>Country code is normalised from the brand/country on Save
Technique: Equivalence Partitioning
Req: Customer Detail §5.1 action #30 "Update CountryCode from CountryCodeCustomer Brand"; FR-14</t>
  </si>
  <si>
    <t>1. Enter mandatory fields; leave Mobile Country Code blank.
2. Click Save.
3. Inspect the stored country/phone country code.</t>
  </si>
  <si>
    <t>First = "Ivy"; Last = "Cole"; Email = "ivy.cole2@example.com"; Country = United States of America; Mobile Country Code left blank.</t>
  </si>
  <si>
    <t>Action #30 applies the correct country code derived from the brand/country; the created record carries a normalised country code.</t>
  </si>
  <si>
    <t>TC-033</t>
  </si>
  <si>
    <t>R5 verification — the embedded Store Terms section and Privacy Policy link are NOT present
Technique: Equivalence Partitioning
Req: Overview R5; Customer Detail §2 (Terms row removed), §5.1 validation #40 removed; FR-18; RG-01</t>
  </si>
  <si>
    <t>Account Creation form open in Insert mode (AS-03). Verifies the R5 de-scope; directly addresses RG-01.</t>
  </si>
  <si>
    <t>1. Open the Account Creation form.
2. Inspect for an embedded "{Brand} Store Terms" block, a Privacy Policy link, and any accept-terms control.</t>
  </si>
  <si>
    <t>None (UI inspection).</t>
  </si>
  <si>
    <t>No Store Terms block, Privacy Policy link, or acceptance control is present, consistent with R5. If any Terms UI appears, raise a defect/clarification against RG-01 (feature-vs-BRD conflict).</t>
  </si>
  <si>
    <t>TC-034</t>
  </si>
  <si>
    <t>R5 verification — Save is NOT gated by Terms acceptance
Technique: Equivalence Partitioning
Req: Overview R5; Customer Detail §5.1 validation #40 removed; FR-18; RG-01, RG-02</t>
  </si>
  <si>
    <t>Account Creation form open in Insert mode (AS-03). Addresses RG-01/RG-02 (feature claims Save is Terms-gated; BRD removes the gate).</t>
  </si>
  <si>
    <t>1. Enter only the mandatory contact fields.
2. Without accepting any Terms (none should exist), click Save.</t>
  </si>
  <si>
    <t>First = "Ada"; Last = "Nash"; Email = "ada.nash@example.com"; no terms interaction available/performed.</t>
  </si>
  <si>
    <t>Save proceeds and creates the customer using only the documented validations (#10, #20, #30, #50, #60, #70, #80); no IsTermsAccepted validation (#40) blocks Save. Any Terms-based blocking indicates the feature-vs-BRD conflict (RG-01).</t>
  </si>
  <si>
    <t>Boundary Value Analysis — phone 10-digit minimum boundaries</t>
  </si>
  <si>
    <t>TC-011</t>
  </si>
  <si>
    <t>Home Phone with 9 digits is rejected (just below minimum)
Technique: Boundary Value Analysis
Req: Customer Detail §5.1 validation #10 "Home Phone Number 10 Digits Min"; FR-09</t>
  </si>
  <si>
    <t>1. Enter valid mandatory fields.
2. Enter a Home Phone with 9 digits.
3. Click Save.</t>
  </si>
  <si>
    <t>Mandatory fields valid; Home Phone = "202555010" (9 digits).</t>
  </si>
  <si>
    <t>Save is blocked by validation #10 "Home Phone Number 10 Digits Min"; no customer is created.</t>
  </si>
  <si>
    <t>TC-012</t>
  </si>
  <si>
    <t>Home Phone with exactly 10 digits is accepted (minimum boundary)
Technique: Boundary Value Analysis
Req: Customer Detail §5.1 validation #10, action #10; FR-09, FR-13</t>
  </si>
  <si>
    <t>1. Enter valid mandatory fields.
2. Enter a Home Phone with exactly 10 digits.
3. Click Save.</t>
  </si>
  <si>
    <t>Mandatory fields valid; Home Phone = "2025550100" (10 digits).</t>
  </si>
  <si>
    <t>Validation #10 passes; the customer is created; the home phone is normalised on Save (action #10).</t>
  </si>
  <si>
    <t>TC-013</t>
  </si>
  <si>
    <t>Home Phone with 11 digits is accepted (above minimum)
Technique: Boundary Value Analysis
Req: Customer Detail §5.1 validation #10, §3.1 FormattedCellPhone; FR-09; RG-04</t>
  </si>
  <si>
    <t>Account Creation form open in Insert mode (AS-03); upper bound undefined (RG-04).</t>
  </si>
  <si>
    <t>1. Enter valid mandatory fields.
2. Enter a Home Phone with 11 digits.
3. Click Save.</t>
  </si>
  <si>
    <t>Mandatory fields valid; Home Phone = "12025550100" (11 digits).</t>
  </si>
  <si>
    <t>Validation #10 (minimum) passes and the customer is created. Normalisation formats only the first 10 digits (RG-04) — observe handling of the 11th digit and raise a defect/clarification if truncation is unintended.</t>
  </si>
  <si>
    <t>TC-014</t>
  </si>
  <si>
    <t>Mobile Phone with 9 digits is rejected (just below minimum)
Technique: Boundary Value Analysis
Req: Customer Detail §5.1 validation #20 "Cell Phone Number 10 Digits Min"; FR-10</t>
  </si>
  <si>
    <t>1. Enter valid mandatory fields.
2. Enter a Mobile Phone with 9 digits.
3. Click Save.</t>
  </si>
  <si>
    <t>Mandatory fields valid; Mobile Country Code = "+1"; Mobile Phone = "202555011" (9 digits).</t>
  </si>
  <si>
    <t>Save is blocked by validation #20 "Cell Phone Number 10 Digits Min"; no customer is created.</t>
  </si>
  <si>
    <t>TC-015</t>
  </si>
  <si>
    <t>Mobile Phone with exactly 10 digits is accepted (minimum boundary)
Technique: Boundary Value Analysis
Req: Customer Detail §5.1 validation #20, action #20, §3.1 FormattedCellPhone; FR-10, FR-13</t>
  </si>
  <si>
    <t>1. Enter valid mandatory fields.
2. Enter a Mobile Phone with exactly 10 digits.
3. Click Save.</t>
  </si>
  <si>
    <t>Mandatory fields valid; Mobile Country Code = "+1"; Mobile Phone = "2025550111" (10 digits).</t>
  </si>
  <si>
    <t>Validation #20 passes; the customer is created; the cell phone is normalised to the "(xxx) xxx-xxxx" pattern on Save (action #20, AS-06).</t>
  </si>
  <si>
    <t>TC-016</t>
  </si>
  <si>
    <t>Mobile Phone with 11 digits is accepted (above minimum)
Technique: Boundary Value Analysis
Req: Customer Detail §5.1 validation #20, §3.1 FormattedCellPhone; FR-10; RG-04</t>
  </si>
  <si>
    <t>1. Enter valid mandatory fields.
2. Enter a Mobile Phone with 11 digits.
3. Click Save.</t>
  </si>
  <si>
    <t>Mandatory fields valid; Mobile Phone = "12025550111" (11 digits).</t>
  </si>
  <si>
    <t>Validation #20 (minimum) passes and the customer is created. Observe normalisation of digits beyond the first 10 (RG-04) and raise clarification if truncation is unintended.</t>
  </si>
  <si>
    <t>Decision Table Testing — Save Customer Details rule combinations</t>
  </si>
  <si>
    <t>TC-017</t>
  </si>
  <si>
    <t>Decision Table Rule 1 — all required valid, email unique, phones valid: Save succeeds
Technique: Decision Table Testing
Req: Customer Detail §5.1 (all validations pass path); US-CI-06; FR-16</t>
  </si>
  <si>
    <t>Account Creation form open in Insert mode (AS-03). Conditions: First=T, Last=T, Email present=T, format valid=T, brand-unique=T, entered phones ≥10 digits=T.</t>
  </si>
  <si>
    <t>1. Populate all fields to satisfy every "T" condition.
2. Click Save.</t>
  </si>
  <si>
    <t>First = "Owen"; Last = "Park"; Email = "owen.park@example.com"; Home Phone = "2025550100"; Mobile Phone = "2025550111".</t>
  </si>
  <si>
    <t>Action = customer created and set as current (all 8 validations pass; commit actions execute).</t>
  </si>
  <si>
    <t>TC-018</t>
  </si>
  <si>
    <t>Decision Table Rule 2 — Last Name missing (others valid): Save fails
Technique: Decision Table Testing
Req: Customer Detail §5.1 validation #60; FR-05</t>
  </si>
  <si>
    <t>Account Creation form open in Insert mode (AS-03). Conditions: First=T, Last=F, Email present/valid/unique=T.</t>
  </si>
  <si>
    <t>1. Enter First and a valid Email; leave Last Name empty.
2. Click Save.</t>
  </si>
  <si>
    <t>First = "Owen"; Last = ""; Email = "owen.park2@example.com".</t>
  </si>
  <si>
    <t>Action = creation blocked at validation #60 "Last Name Missing"; no customer created.</t>
  </si>
  <si>
    <t>TC-019</t>
  </si>
  <si>
    <t>Decision Table Rule 3 — names present but Email format invalid: Save fails
Technique: Decision Table Testing
Req: Customer Detail §5.1 validation #70; FR-07</t>
  </si>
  <si>
    <t>Account Creation form open in Insert mode (AS-03). Conditions: First=T, Last=T, Email present=T, format valid=F.</t>
  </si>
  <si>
    <t>1. Enter valid names and a malformed Email.
2. Click Save.</t>
  </si>
  <si>
    <t>First = "Owen"; Last = "Park"; Email = "owen.park@@example" (malformed).</t>
  </si>
  <si>
    <t>Action = creation blocked at validation #70 "email address format"; no customer created.</t>
  </si>
  <si>
    <t>TC-020</t>
  </si>
  <si>
    <t>Decision Table Rule 4 — email valid format but duplicate within brand: Save fails
Technique: Decision Table Testing
Req: Customer Detail §5.1 validation #80, §3.1 (brand-scoped WHERE); FR-08</t>
  </si>
  <si>
    <t>Account Creation form open in Insert mode (AS-03). A customer with the same email already exists in the current brand. Conditions: First=T, Last=T, Email present=T, format valid=T, brand-unique=F.</t>
  </si>
  <si>
    <t>1. Enter valid names.
2. Enter an email that already exists for another customer in the current brand.
3. Click Save.</t>
  </si>
  <si>
    <t>First = "Owen"; Last = "Park"; Email = "existing.customer@example.com" (already present in this brand).</t>
  </si>
  <si>
    <t>Action = creation blocked at validation #80 "Duplicate Brand Email Address"; no duplicate customer created within the brand.</t>
  </si>
  <si>
    <t>TC-021</t>
  </si>
  <si>
    <t>Decision Table Rule 5 — all required valid but entered Home Phone below 10 digits: Save fails
Technique: Decision Table Testing
Req: Customer Detail §5.1 validation #10; FR-09</t>
  </si>
  <si>
    <t>Account Creation form open in Insert mode (AS-03). Conditions: First/Last/Email valid=T, entered Home Phone ≥10 digits=F.</t>
  </si>
  <si>
    <t>1. Enter valid mandatory fields.
2. Enter a Home Phone with fewer than 10 digits.
3. Click Save.</t>
  </si>
  <si>
    <t>First = "Owen"; Last = "Park"; Email = "owen.park3@example.com"; Home Phone = "202555" (6 digits).</t>
  </si>
  <si>
    <t>Action = creation blocked at validation #10 "Home Phone Number 10 Digits Min" despite valid name/email; no customer created.</t>
  </si>
  <si>
    <t>State Transition Testing — Insert / Validation-Failed / Committed states</t>
  </si>
  <si>
    <t>TC-029</t>
  </si>
  <si>
    <t>State transition — invalid Save keeps the form active, then correction commits
Technique: State Transition Testing
Req: Customer Detail §1.2 (Insert mode), §5.1 validation #30; FR-01, FR-06</t>
  </si>
  <si>
    <t>Account Creation form open in Insert mode (AS-03). States: S1 Empty Insert form → S2 Data Entered → S3 Validation Failed → S4 Committed.</t>
  </si>
  <si>
    <t>1. From S1, enter names but leave Email empty (S2).
2. Click Save — expect transition to S3 (Validation Failed).
3. Enter a valid Email.
4. Click Save again — expect transition to S4 (Committed).</t>
  </si>
  <si>
    <t>Step-1 invalid: First = "Kate"; Last = "Doe"; Email = "" (empty). Step-2 correction: Email = "kate.doe@example.com".</t>
  </si>
  <si>
    <t>The first Save transitions to Validation Failed (blocked by #30, no commit, form remains editable with data retained); after correction, Save transitions to Committed and the customer is created and set as current. No invalid intermediate state persists a customer.</t>
  </si>
  <si>
    <t>TC-030</t>
  </si>
  <si>
    <t>State transition — successful Save stamps brand context and current customer
Technique: State Transition Testing
Req: Customer Detail §5.1 actions #5/#8/#10/#20/#30/#50/#60, §1.0 postcondition; FR-15; (action #40 removed — R5)</t>
  </si>
  <si>
    <t>Account Creation form open in Insert mode (AS-03). Transition: Data Entered (valid) → Committed → Current-customer context established.</t>
  </si>
  <si>
    <t>1. Enter valid mandatory fields.
2. Click Save.
3. Observe the resulting context.</t>
  </si>
  <si>
    <t>First = "Mark"; Last = "Lane"; Email = "mark.lane@example.com".</t>
  </si>
  <si>
    <t>On the transition to Committed, the Save actions execute in order: BrandID stamped to CurrentBrandID (#5), CustomerBrand link inserted (#8), phone/country-code normalised (#10/#20/#30), event copied (#50), and UserParam.CurrentCustomerID set to the new customer (#60). The flow continues with the new customer selected (AS-07). Action #40 (Terms) is de-scoped per R5 and must NOT execute.</t>
  </si>
  <si>
    <t>Use Case Testing — end-to-end create-account workflow &amp; navigation</t>
  </si>
  <si>
    <t>TC-031</t>
  </si>
  <si>
    <t>End-to-end — search with no match, create account, and continue into the scan/shop flow
Technique: Use Case Testing
Req: Overview US-CI-01, US-CI-02, US-CI-03, US-CI-06, US-CI-05; Customer Detail §1.0; FR-17</t>
  </si>
  <si>
    <t>User authenticated with a brand context set (AS-03). Customer Search panel accessible (US-CI-01).</t>
  </si>
  <si>
    <t>1. Open the Customer Search panel (US-CI-01).
2. Search by first + last name returning no match (US-CI-02).
3. Click Create Account to branch to the form (US-CI-03 → US-CI-06).
4. Complete the mandatory fields and click Save.
5. Observe that the new customer becomes the current customer.</t>
  </si>
  <si>
    <t>Search: First = "Zoe", Last = "West" (no existing match). Create: First = "Zoe"; Last = "West"; Email = "zoe.west@example.com".</t>
  </si>
  <si>
    <t>The customer is created, stamped to the brand, linked via CustomerBrand, and set as UserParam.CurrentCustomerID; the associate continues with the new customer selected, entering the downstream scan/shop workspace (as with an existing customer via Search Results → Scan, US-CI-05).</t>
  </si>
  <si>
    <t>TC-032</t>
  </si>
  <si>
    <t>End-to-end — branch directly to Create Account from the search entry (no search run)
Technique: Use Case Testing
Req: Overview US-CI-01, US-CI-03; Customer Detail §1.0; FR-01, FR-17</t>
  </si>
  <si>
    <t>User authenticated with brand context set (AS-03). Customer Search panel open; no search executed (US-CI-01 states no search runs automatically on open).</t>
  </si>
  <si>
    <t>1. Open the Customer Search panel.
2. Without running a search, click Create Account (US-CI-03, no match required).
3. Complete mandatory fields on the form.
4. Click Save.</t>
  </si>
  <si>
    <t>First = "Ben"; Last = "Ford"; Email = "ben.ford@example.com".</t>
  </si>
  <si>
    <t>The Account Creation form opens in Insert mode with the brand context; the customer is created and set as current, confirming Create Account is reachable without first running a search.</t>
  </si>
  <si>
    <t>TC-036</t>
  </si>
  <si>
    <t>Precondition/navigation — form opens in Insert mode with the current brand context
Technique: Use Case Testing
Req: Customer Detail §1.0 (Trigger/Precondition), §1.1 (Endpoint), §1.2 (Page Properties); Overview US-CI-03; FR-01</t>
  </si>
  <si>
    <t>User authenticated; a current order brand is set (UserParam.CurrentOrderBrandID).</t>
  </si>
  <si>
    <t>1. From Customer Search, click Create Account.
2. Observe the opened URL/mode and the brand scoping.</t>
  </si>
  <si>
    <t>Current order brand = a known brand ID.</t>
  </si>
  <si>
    <t>The Customer Detail page opens at ?$mode=Insert&amp;BrandID={CurrentOrderBrandID} with an empty scaffolded customer row scoped to the current brand; the form is ready for data entry (Insert/Account-Creation mode).</t>
  </si>
  <si>
    <t>Checklist-based Testing — UI layout, grouping &amp; required markers</t>
  </si>
  <si>
    <t>TC-035</t>
  </si>
  <si>
    <t>UI validation — mandatory markers and field grouping match the BRD
Technique: Checklist-based Testing
Req: Customer Detail §2 (Controls: Contact and Address groups, required markers); FR-02, FR-03; RG-07</t>
  </si>
  <si>
    <t>1. Open the form.
2. Verify the Contact group contains First*, Last*, Title, Gender*, Email*, Home Phone, Mobile Country Code, Mobile Phone.
3. Verify the Address group contains Address, City, State, Postal Code, Country*.
4. Verify required fields (First, Last, Gender, Email, Country) are visually marked as required.</t>
  </si>
  <si>
    <t>None (UI inspection against §2 controls).</t>
  </si>
  <si>
    <t>Field presence, grouping, and required markers match §2. Note: no Save validation exists for Gender/Country (RG-07) — record any discrepancy between the required marker and actual enforcement.</t>
  </si>
  <si>
    <t>Error Guessing — robustness of documented validations</t>
  </si>
  <si>
    <t>TC-037</t>
  </si>
  <si>
    <t>Error guessing — Email with leading/trailing whitespace
Technique: Error Guessing
Req: Customer Detail §5.1 validations #70, #80; FR-07, FR-08; RG-09, RG-11; AS-08</t>
  </si>
  <si>
    <t>Account Creation form open in Insert mode (AS-03). Probes robustness of the email format (#70) and duplicate (#80) rules.</t>
  </si>
  <si>
    <t>1. Enter valid names.
2. Enter the Email with surrounding spaces.
3. Click Save.
4. If a trimmed duplicate exists, observe whether it is detected.</t>
  </si>
  <si>
    <t>First = "Sam"; Last = "Doe"; Email = " sam.doe@example.com " (leading and trailing spaces); a customer with "sam.doe@example.com" may or may not already exist in the brand.</t>
  </si>
  <si>
    <t>Behaviour is per the documented format (#70) and duplicate (#80) rules. Since whitespace/trim handling is unspecified (RG-09/RG-11), record the actual result: ideally the email is trimmed and treated consistently for both format and uniqueness. Any inconsistency (e.g., stored with spaces or bypassing the duplicate check) is a defect/clarification item.</t>
  </si>
  <si>
    <t>TC-038</t>
  </si>
  <si>
    <t>Error guessing — duplicate email differing only by letter case
Technique: Error Guessing
Req: Customer Detail §5.1 validation #80; FR-08; RG-11; AS-08</t>
  </si>
  <si>
    <t>Account Creation form open in Insert mode (AS-03). A customer with "john.doe@example.com" already exists in the current brand.</t>
  </si>
  <si>
    <t>1. Enter valid names.
2. Enter the case-variant email.
3. Click Save.</t>
  </si>
  <si>
    <t>First = "John"; Last = "Doe"; Email = "John.Doe@EXAMPLE.com" (same address, different case).</t>
  </si>
  <si>
    <t>Behaviour is per the documented brand-uniqueness rule (#80). Case-insensitivity is unspecified (RG-11): if uniqueness is intended to be case-insensitive, Save must be blocked as a duplicate; if the case variant is accepted, record it as a potential duplicate-integrity defect and clarification item.</t>
  </si>
  <si>
    <t>TC-039</t>
  </si>
  <si>
    <t>Error guessing — phone entered with formatting characters
Technique: Error Guessing
Req: Customer Detail §5.1 validations #10/#20, actions #10/#20, §3.1 FormattedCellPhone; FR-09, FR-10, FR-13; RG-04; AS-08</t>
  </si>
  <si>
    <t>Account Creation form open in Insert mode (AS-03). Probes how the 10-digit-minimum rules and normalisation treat non-digit characters.</t>
  </si>
  <si>
    <t>1. Enter valid mandatory fields.
2. Enter Home and Mobile phones containing spaces, parentheses, and dashes.
3. Click Save.
4. Inspect stored values.</t>
  </si>
  <si>
    <t>First = "Mia"; Last = "Fox"; Email = "mia.fox@example.com"; Home Phone = "(202) 555-0100"; Mobile Phone = "202-555-0111".</t>
  </si>
  <si>
    <t>Behaviour is per the documented minimum-10-digit rules (#10/#20) and normalisation (actions #10/#20). Character-set handling is unspecified (RG-04): ideally non-digit characters are ignored so the ten digits pass and normalise to "(202) 555-0100" / "(202) 555-0111". If formatting characters cause a false rejection or corrupt storage, record it as a defect/clarification item.</t>
  </si>
  <si>
    <t>TC-040</t>
  </si>
  <si>
    <t>Error guessing — rapid double-click on Save does not create duplicate records
Technique: Error Guessing
Req: Customer Detail §5.1 validation #80, action #8 (CustomerBrand Insert); FR-16, FR-08; RG-13; AS-08</t>
  </si>
  <si>
    <t>Account Creation form open in Insert mode (AS-03). Probes the check-then-insert path for duplicate/concurrency protection.</t>
  </si>
  <si>
    <t>1. Enter valid mandatory fields.
2. Double-click / rapidly click Save twice in succession.
3. Inspect the resulting records.</t>
  </si>
  <si>
    <t>First = "Rex"; Last = "Lin"; Email = "rex.lin@example.com" (not yet in the brand).</t>
  </si>
  <si>
    <t>Exactly one Customer and one CustomerBrand link are created for the email. Duplicate-submit handling is unspecified (RG-13); if two records or two brand links are created, record it as a defect/clarification item.</t>
  </si>
  <si>
    <t>TC-041</t>
  </si>
  <si>
    <t>Error guessing — oversized and special-character values in name fields
Technique: Error Guessing
Req: Customer Detail §5.1 validations #50/#60 (name present); §2 (name fields); FR-04, FR-05; RG-10; AS-08</t>
  </si>
  <si>
    <t>Account Creation form open in Insert mode (AS-03). Probes robustness of the name-present rules with extreme/special input.</t>
  </si>
  <si>
    <t>1. Enter an over-long First Name and a Last Name containing apostrophes, hyphens, accented/non-Latin characters, and markup-like text.
2. Enter a valid Email.
3. Click Save.
4. Inspect stored values and page rendering.</t>
  </si>
  <si>
    <t>First = a 300-character string; Last = "O'Neil-Łukasz &lt;script&gt; 名字"; Email = "long.name@example.com".</t>
  </si>
  <si>
    <t>Per §5.1 #50/#60 the names are non-empty, so those validations pass. As no length or character-set constraints are documented (RG-10), record the actual behaviour: input should be stored and rendered safely without truncation surprises, layout breakage, or script execution. Any data corruption, unsafe rendering, or unhandled error is a defect/clarification item.</t>
  </si>
  <si>
    <t>Project</t>
  </si>
  <si>
    <t>Document</t>
  </si>
  <si>
    <t>Customer Identification &amp; Account — Manual Test Specification (Account Creation + Customer Search)</t>
  </si>
  <si>
    <t>Generated</t>
  </si>
  <si>
    <t>Author</t>
  </si>
  <si>
    <t>GPP QA Team</t>
  </si>
  <si>
    <t>Sub-module</t>
  </si>
  <si>
    <t>Stories</t>
  </si>
  <si>
    <t>Test Cases</t>
  </si>
  <si>
    <t>In Scope</t>
  </si>
  <si>
    <t>Blank</t>
  </si>
  <si>
    <t>% Progress</t>
  </si>
  <si>
    <t>% Pass Rate</t>
  </si>
  <si>
    <t>Customer Account Creation</t>
  </si>
  <si>
    <t>Customer Search</t>
  </si>
  <si>
    <t>TOTAL</t>
  </si>
  <si>
    <t>Lookup</t>
  </si>
  <si>
    <t>Values</t>
  </si>
  <si>
    <t>Safari (latest)</t>
  </si>
  <si>
    <t>Firefox (latest)</t>
  </si>
  <si>
    <t>Edge (latest)</t>
  </si>
  <si>
    <t>Default user</t>
  </si>
  <si>
    <t>Store Associate (Sam)</t>
  </si>
  <si>
    <t>Roles</t>
  </si>
  <si>
    <t>Customer (Olivia)</t>
  </si>
  <si>
    <t>Tailor / Fit Specialist (Tariq)</t>
  </si>
  <si>
    <t>Order / Brand Administrator (Bianca)</t>
  </si>
  <si>
    <t>Sizestream Administrator (Sid)</t>
  </si>
  <si>
    <t>Internal_Scan_And_Shop_BRD.md (BRD-SS-001 v1.8) — detail-BRD traceability</t>
  </si>
  <si>
    <t>Detail Story ID</t>
  </si>
  <si>
    <t>Title</t>
  </si>
  <si>
    <t>Coverage</t>
  </si>
  <si>
    <t>Sheet</t>
  </si>
  <si>
    <t>Overview Equivalent</t>
  </si>
  <si>
    <t>FR-01 / §1.0-1.2</t>
  </si>
  <si>
    <t>Open Account Creation form in Insert mode with brand context</t>
  </si>
  <si>
    <t>TC-036, TC-029</t>
  </si>
  <si>
    <t>a. Customer Account Creation</t>
  </si>
  <si>
    <t>US-CI-03</t>
  </si>
  <si>
    <t>FR-02 / §2</t>
  </si>
  <si>
    <t>Capture Contact Information fields</t>
  </si>
  <si>
    <t>TC-001, TC-007, TC-035</t>
  </si>
  <si>
    <t>FR-03 / §2</t>
  </si>
  <si>
    <t>Capture Address Information fields</t>
  </si>
  <si>
    <t>TC-007, TC-035</t>
  </si>
  <si>
    <t>FR-04 / §5.1 #50</t>
  </si>
  <si>
    <t>First Name required</t>
  </si>
  <si>
    <t>TC-002, TC-018</t>
  </si>
  <si>
    <t>FR-05 / §5.1 #60</t>
  </si>
  <si>
    <t>Last Name required</t>
  </si>
  <si>
    <t>TC-003, TC-018</t>
  </si>
  <si>
    <t>FR-06 / §5.1 #30</t>
  </si>
  <si>
    <t>Email required (not null)</t>
  </si>
  <si>
    <t>TC-004, TC-029</t>
  </si>
  <si>
    <t>FR-07 / §5.1 #70</t>
  </si>
  <si>
    <t>Email format valid</t>
  </si>
  <si>
    <t>TC-005, TC-006, TC-019, TC-037</t>
  </si>
  <si>
    <t>FR-08 / §5.1 #80</t>
  </si>
  <si>
    <t>Email unique within brand</t>
  </si>
  <si>
    <t>TC-020, TC-025, TC-026, TC-038</t>
  </si>
  <si>
    <t>FR-09 / §5.1 #10</t>
  </si>
  <si>
    <t>Home Phone minimum 10 digits</t>
  </si>
  <si>
    <t>TC-011, TC-012, TC-013, TC-021, TC-039</t>
  </si>
  <si>
    <t>FR-10 / §5.1 #20</t>
  </si>
  <si>
    <t>Mobile Phone minimum 10 digits</t>
  </si>
  <si>
    <t>TC-014, TC-015, TC-016, TC-039</t>
  </si>
  <si>
    <t>FR-11 / §2</t>
  </si>
  <si>
    <t>Default Gender = Male</t>
  </si>
  <si>
    <t>TC-009, TC-022, TC-024</t>
  </si>
  <si>
    <t>FR-12 / §2</t>
  </si>
  <si>
    <t>Default Country = United States of America</t>
  </si>
  <si>
    <t>TC-010, TC-023, TC-024</t>
  </si>
  <si>
    <t>FR-13 / §5.1 #10/#20</t>
  </si>
  <si>
    <t>Phone number normalisation on Save</t>
  </si>
  <si>
    <t>TC-007, TC-027, TC-039</t>
  </si>
  <si>
    <t>FR-14 / §5.1 #30</t>
  </si>
  <si>
    <t>Country-code normalisation on Save</t>
  </si>
  <si>
    <t>TC-010, TC-028</t>
  </si>
  <si>
    <t>FR-15 / §5.1 #5/#8/#50/#60</t>
  </si>
  <si>
    <t>Save commit chain (brand, CustomerBrand, event, CurrentCustomerID)</t>
  </si>
  <si>
    <t>FR-16 / §2 Action</t>
  </si>
  <si>
    <t>Save action creates the customer</t>
  </si>
  <si>
    <t>TC-001, TC-017, TC-040</t>
  </si>
  <si>
    <t>FR-17 / §1.0</t>
  </si>
  <si>
    <t>Continue flow with new customer as current (scan/shop)</t>
  </si>
  <si>
    <t>TC-031, TC-032</t>
  </si>
  <si>
    <t>US-CI-05</t>
  </si>
  <si>
    <t>FR-18 / R5</t>
  </si>
  <si>
    <t>Terms acceptance de-scoped (no Terms UI; Save not Terms-gated)</t>
  </si>
  <si>
    <t>TC-033, TC-034</t>
  </si>
  <si>
    <t>CS-FR-01 / §1,§1.6</t>
  </si>
  <si>
    <t>Customer Search is brand-scoped ("New to {Brand}?")</t>
  </si>
  <si>
    <t>b. Customer Search</t>
  </si>
  <si>
    <t>US-CI-01</t>
  </si>
  <si>
    <t>CS-FR-02 / §2.1,§3.1</t>
  </si>
  <si>
    <t>Four search criteria: First, Last, Email, Cell Phone</t>
  </si>
  <si>
    <t>TC-008, TC-009, TC-015</t>
  </si>
  <si>
    <t>US-CI-02</t>
  </si>
  <si>
    <t>CS-FR-03 / §5.1</t>
  </si>
  <si>
    <t>Search validation: email OR (first AND last)</t>
  </si>
  <si>
    <t>TC-001, TC-002, TC-003, TC-004, TC-005, TC-006, TC-007, TC-036</t>
  </si>
  <si>
    <t>CS-FR-04 / §2.1</t>
  </si>
  <si>
    <t>Search via button or Enter (Automatic Save on Enter)</t>
  </si>
  <si>
    <t>TC-029, TC-031</t>
  </si>
  <si>
    <t>CS-FR-05 / §1,§3.1</t>
  </si>
  <si>
    <t>Brand-scoped, per-associate, partial-match, case-insensitive</t>
  </si>
  <si>
    <t>TC-010, TC-011, TC-012, TC-013</t>
  </si>
  <si>
    <t>CS-FR-06 / §5.1</t>
  </si>
  <si>
    <t>Search event: clear prior, repopulate, reset criteria, route</t>
  </si>
  <si>
    <t>TC-021, TC-022, TC-023</t>
  </si>
  <si>
    <t>CS-FR-07 / §1.5,§3.1</t>
  </si>
  <si>
    <t>Search criteria persisted to UserParam</t>
  </si>
  <si>
    <t>CS-FR-08 / §2.2,§7</t>
  </si>
  <si>
    <t>Create Account → Customer Detail (Insert) with BrandID</t>
  </si>
  <si>
    <t>TC-027, TC-028</t>
  </si>
  <si>
    <t>CS-FR-09 / Results §1,§3.1</t>
  </si>
  <si>
    <t>Results scoped to brand + associate (WHERE UserName=WHO())</t>
  </si>
  <si>
    <t>TC-012, TC-013</t>
  </si>
  <si>
    <t>US-CI-04</t>
  </si>
  <si>
    <t>CS-FR-10 / Results §2</t>
  </si>
  <si>
    <t>Result row shows Name, Email, "Created via {Event}"</t>
  </si>
  <si>
    <t>CS-FR-11 / Results §1.4</t>
  </si>
  <si>
    <t>No prior search → empty results grid</t>
  </si>
  <si>
    <t>CS-FR-12 / Results §3.1</t>
  </si>
  <si>
    <t>Multiple results supported</t>
  </si>
  <si>
    <t>CS-FR-13 / Results §5.1</t>
  </si>
  <si>
    <t>Scan (Click Profile) opens Customer workspace by CustomerID</t>
  </si>
  <si>
    <t>TC-026, TC-030, TC-042</t>
  </si>
  <si>
    <t>CS-FR-14 / Results §2.B</t>
  </si>
  <si>
    <t>Results grid per-column asc/desc sort</t>
  </si>
  <si>
    <t>CS-FR-15 / Results §2.B</t>
  </si>
  <si>
    <t>Results toolbar Create (inline staging row)</t>
  </si>
  <si>
    <t>CS-FR-16 / Results §2.B/2.C</t>
  </si>
  <si>
    <t>No Filter/Search/Refresh on results panel</t>
  </si>
  <si>
    <t>CS-FR-17 / §3.1</t>
  </si>
  <si>
    <t>Field lengths: First/Last/Email String(500), Cell String(50)</t>
  </si>
  <si>
    <t>TC-016, TC-017, TC-018, TC-019, TC-020</t>
  </si>
  <si>
    <t>CS-FR-18 / R5</t>
  </si>
  <si>
    <t>Terms &amp; Conditions row action &amp; Scan Terms gate de-scoped</t>
  </si>
  <si>
    <t>TC-041, TC-042</t>
  </si>
  <si>
    <t>CS-FR-19 / §1.5,§1.6</t>
  </si>
  <si>
    <t>Access precondition: auth + UserParam + brand + active event</t>
  </si>
  <si>
    <t>Decision Table Testing — search-criteria validation (email OR first+last) rule combinations</t>
  </si>
  <si>
    <t>Decision Table R1 — Email only provided: search is allowed
Technique: Decision Table Testing
Req: FR-03; Scan and Shop §2.2, §5.1 validation "First Name Last Name Email Missing"; Overview US-CI-02</t>
  </si>
  <si>
    <t>On Customer Search with brand context resolved (AS-03). Conditions: Email=present, First=empty, Last=empty.</t>
  </si>
  <si>
    <t>1) Enter the Email only.
2) Leave First, Last, and Cell Phone empty.
3) Click Search.</t>
  </si>
  <si>
    <t>Email = "leezinn@zudy.com"; First Name = ""; Last Name = ""; Cell Phone = "".</t>
  </si>
  <si>
    <t>Validation passes (email satisfies the rule); the Search event runs and routes to Customer Search Results showing brand-scoped matches for that email.</t>
  </si>
  <si>
    <t>Decision Table R2 — First AND Last provided (no email): search is allowed
Technique: Decision Table Testing
Req: FR-03; §5.1; Overview US-CI-02</t>
  </si>
  <si>
    <t>On Customer Search, brand context resolved (AS-03). Conditions: Email=empty, First=present, Last=present.</t>
  </si>
  <si>
    <t>1) Enter First and Last Name.
2) Leave Email and Cell Phone empty.
3) Click Search.</t>
  </si>
  <si>
    <t>First Name = "Lee"; Last Name = "Zinn"; Email = ""; Cell Phone = "".</t>
  </si>
  <si>
    <t>Validation passes (first+last satisfies the rule); the search runs and routes to Customer Search Results with matching brand-scoped rows.</t>
  </si>
  <si>
    <t>Decision Table R3 — First only (no Last, no Email): search is blocked
Technique: Decision Table Testing
Req: FR-03; §5.1</t>
  </si>
  <si>
    <t>On Customer Search, brand context resolved (AS-03). Conditions: Email=empty, First=present, Last=empty.</t>
  </si>
  <si>
    <t>1) Enter First Name only.
2) Click Search.</t>
  </si>
  <si>
    <t>First Name = "Lee"; Last Name = ""; Email = ""; Cell Phone = "".</t>
  </si>
  <si>
    <t>Validation "First Name Last Name Email Missing" blocks the search (Error); no routing occurs; the associate stays on Customer Search (message text unspecified — RG-03).</t>
  </si>
  <si>
    <t>Decision Table R4 — Last only (no First, no Email): search is blocked
Technique: Decision Table Testing
Req: FR-03; §5.1</t>
  </si>
  <si>
    <t>On Customer Search, brand context resolved (AS-03). Conditions: Email=empty, First=empty, Last=present.</t>
  </si>
  <si>
    <t>1) Enter Last Name only.
2) Click Search.</t>
  </si>
  <si>
    <t>First Name = ""; Last Name = "Zinn"; Email = ""; Cell Phone = "".</t>
  </si>
  <si>
    <t>Validation blocks the search (Error); no routing; associate remains on Customer Search.</t>
  </si>
  <si>
    <t>Decision Table R5 — all criteria empty: search is blocked
Technique: Decision Table Testing
Req: FR-03; §5.1</t>
  </si>
  <si>
    <t>On Customer Search, brand context resolved (AS-03). Conditions: Email=empty, First=empty, Last=empty, Cell=empty.</t>
  </si>
  <si>
    <t>1) Leave every field empty.
2) Click Search.</t>
  </si>
  <si>
    <t>All search fields empty.</t>
  </si>
  <si>
    <t>Validation blocks the search (Error); no CustomerSearch population and no routing.</t>
  </si>
  <si>
    <t>Decision Table R6 — Email + First + Last all provided: search is allowed
Technique: Decision Table Testing
Req: FR-03; §5.1</t>
  </si>
  <si>
    <t>On Customer Search, brand context resolved (AS-03). Conditions: Email=present, First=present, Last=present.</t>
  </si>
  <si>
    <t>1) Enter First, Last, and Email.
2) Click Search.</t>
  </si>
  <si>
    <t>First Name = "Lee"; Last Name = "Zinn"; Email = "leezinn@zudy.com".</t>
  </si>
  <si>
    <t>Validation passes; the search runs (both insert passes) and routes to Customer Search Results; see RG-14 for potential duplicate rows across the two passes.</t>
  </si>
  <si>
    <t>Decision Table R7 — Cell Phone only (conflict): documented validation blocks
Technique: Decision Table Testing
Req: FR-03; §5.1; Overview US-CI-02; RG-01</t>
  </si>
  <si>
    <t>On Customer Search, brand context resolved (AS-03). Conditions: Email=empty, First=empty, Last=empty, Cell=present.</t>
  </si>
  <si>
    <t>1) Enter Cell Phone only.
2) Click Search.</t>
  </si>
  <si>
    <t>Cell Phone = "2025550100"; First/Last/Email empty.</t>
  </si>
  <si>
    <t>Per the detailed §5.1 rule (email or first+last), the search is BLOCKED because no email/first/last was provided. NOTE the conflict (RG-01): the Overview US-CI-02 treats a cell phone as a valid sole criterion. Record which behaviour the implementation exhibits and raise the conflict for clarification.</t>
  </si>
  <si>
    <t>Equivalence Partitioning — search execution, matching &amp; scoping</t>
  </si>
  <si>
    <t>Search by valid Email returns brand-scoped matches
Technique: Equivalence Partitioning
Req: FR-02, FR-05; §2.1, §3.1; Overview US-CI-02</t>
  </si>
  <si>
    <t>On Customer Search, brand context = FORMCUT (AS-03). A customer with the email exists in the current brand.</t>
  </si>
  <si>
    <t>1) Enter a valid, existing Email.
2) Click Search.
3) Observe the Results grid.</t>
  </si>
  <si>
    <t>Email = "leezinn@zudy.com".</t>
  </si>
  <si>
    <t>Customer Search Results lists the matching customer(s) for the current brand, each row showing Name, Email, and "Created via {Event}".</t>
  </si>
  <si>
    <t>Search by valid First + Last name returns matches
Technique: Equivalence Partitioning
Req: FR-02, FR-05; §2.1</t>
  </si>
  <si>
    <t>On Customer Search, brand context = FORMCUT (AS-03). Matching customers exist (e.g., surname "Zinn").</t>
  </si>
  <si>
    <t>1) Enter First and Last Name.
2) Click Search.</t>
  </si>
  <si>
    <t>First Name = "Lee"; Last Name = "Zinn".</t>
  </si>
  <si>
    <t>Results lists the matching customers within FORMCUT (reference: multiple "Zinn" rows including Lee Zinn).</t>
  </si>
  <si>
    <t>Partial-match on Last Name returns substring matches
Technique: Equivalence Partitioning
Req: FR-05; Overview US-CI-02 (partial-match); RG-09</t>
  </si>
  <si>
    <t>On Customer Search, brand context resolved (AS-03). Customers with surname "Zinn" exist.</t>
  </si>
  <si>
    <t>1) Enter a partial Last Name and a First Name.
2) Click Search.</t>
  </si>
  <si>
    <t>Last Name = "Zin" (partial); First Name = "Lee".</t>
  </si>
  <si>
    <t>Results includes customers whose last name contains the partial string (partial-match per Overview). Exact prefix-vs-substring semantics are unspecified (RG-09) — record the observed behaviour.</t>
  </si>
  <si>
    <t>Case-insensitive match on name
Technique: Equivalence Partitioning
Req: FR-05; Overview US-CI-02 (case-insensitive); RG-09</t>
  </si>
  <si>
    <t>On Customer Search, brand context resolved (AS-03). Customer "Lee Zinn" exists.</t>
  </si>
  <si>
    <t>1) Enter the name in mixed/opposite case.
2) Click Search.</t>
  </si>
  <si>
    <t>First Name = "lee"; Last Name = "ZINN".</t>
  </si>
  <si>
    <t>The same matches are returned as for the correctly-cased query (case-insensitive per Overview).</t>
  </si>
  <si>
    <t>Search returns only current-brand customers (brand scoping)
Technique: Equivalence Partitioning
Req: FR-05, FR-09; §1, §3.1 (CurrentOrderBrandID scope)</t>
  </si>
  <si>
    <t>Brand context = FORMCUT (AS-03). A customer with the same name/email exists under a different brand.</t>
  </si>
  <si>
    <t>1) Search by name/email that would match customers across brands.
2) Inspect the Results rows.</t>
  </si>
  <si>
    <t>Search criteria matching a customer that exists in another brand as well as FORMCUT.</t>
  </si>
  <si>
    <t>Only customers belonging to the current order brand (FORMCUT) are listed; customers from other brands are excluded (brand-scoped source).</t>
  </si>
  <si>
    <t>Results are scoped to the signed-in associate only
Technique: Equivalence Partitioning
Req: FR-09; Results §3.1 (WHERE C.UserName = WHO())</t>
  </si>
  <si>
    <t>Two associates (A and B) authenticated separately in the same brand (AS-03). Associate B previously ran a different search.</t>
  </si>
  <si>
    <t>1) As associate A, run a search.
2) Open Customer Search Results.
3) Verify only A's results appear.</t>
  </si>
  <si>
    <t>Associate A searches "Zinn".</t>
  </si>
  <si>
    <t>Results show only associate A's CustomerSearch rows (per-associate scope); associate B's prior results are not visible.</t>
  </si>
  <si>
    <t>Search with no matching customer returns an empty result set
Technique: Equivalence Partitioning
Req: FR-05, FR-11; §5.1; Results §1; RG-06</t>
  </si>
  <si>
    <t>On Customer Search, brand context resolved (AS-03). No customer matches the criteria in the current brand.</t>
  </si>
  <si>
    <t>1) Enter criteria that match no customer.
2) Click Search.
3) Observe Results.</t>
  </si>
  <si>
    <t>Last Name = "Zzzznomatch"; First Name = "Nobody".</t>
  </si>
  <si>
    <t>The search runs (validation passes) and routes to Customer Search Results with an empty grid (no rows). No empty-state message is documented (RG-06) — record what is shown.</t>
  </si>
  <si>
    <t>Cell Phone used as a supplementary criterion alongside a valid name
Technique: Equivalence Partitioning
Req: FR-02; §2.1, §5.1 (Insert by FirstName LastName Email CellPhone)</t>
  </si>
  <si>
    <t>On Customer Search, brand context resolved (AS-03). A customer with the given name and cell phone exists.</t>
  </si>
  <si>
    <t>1) Enter First, Last, and Cell Phone.
2) Click Search.</t>
  </si>
  <si>
    <t>First Name = "Lee"; Last Name = "Zinn"; Cell Phone = "2025550100".</t>
  </si>
  <si>
    <t>Validation passes (first+last present); the by-first/last/email/cellphone pass includes the cell phone in matching; results are returned scoped to brand.</t>
  </si>
  <si>
    <t>Boundary Value Analysis — search field length boundaries</t>
  </si>
  <si>
    <t>Minimum boundary — First and Last each exactly 1 character
Technique: Boundary Value Analysis
Req: FR-03, FR-17; §2.2 (name field ≥1 char), §3.1</t>
  </si>
  <si>
    <t>On Customer Search, brand context resolved (AS-03).</t>
  </si>
  <si>
    <t>1) Enter a 1-character First and 1-character Last Name.
2) Click Search.</t>
  </si>
  <si>
    <t>First Name = "L"; Last Name = "Z".</t>
  </si>
  <si>
    <t>Validation passes (each name field has ≥1 char); the search runs and returns partial matches for those single characters.</t>
  </si>
  <si>
    <t>Upper boundary — First Name at 500 characters (max) is accepted
Technique: Boundary Value Analysis
Req: FR-17; §3.1 (String(500)); RG-04</t>
  </si>
  <si>
    <t>1) Enter a 500-character First Name and a valid Last Name.
2) Click Search.</t>
  </si>
  <si>
    <t>First Name = 500-character string; Last Name = "Zinn".</t>
  </si>
  <si>
    <t>The field accepts 500 characters (source String(500)); the search executes without truncation error. Exact match outcome depends on data; verify no input error.</t>
  </si>
  <si>
    <t>Over boundary — First Name at 501 characters (over max)
Technique: Boundary Value Analysis
Req: FR-17; §3.1; RG-04</t>
  </si>
  <si>
    <t>On Customer Search, brand context resolved (AS-03). Over-length handling undefined (RG-04).</t>
  </si>
  <si>
    <t>1) Attempt to enter a 501-character First Name.
2) Click Search.
3) Inspect stored/used value.</t>
  </si>
  <si>
    <t>First Name = 501-character string; Last Name = "Zinn".</t>
  </si>
  <si>
    <t>Behaviour is undocumented (RG-04): the field should cap input at 500 or reject the excess. Record whether input is truncated, rejected, or errors, and raise as a clarification item.</t>
  </si>
  <si>
    <t>Boundary — Email at 500 characters
Technique: Boundary Value Analysis
Req: FR-17; §3.1 (Email String(500)); RG-04, RG-05</t>
  </si>
  <si>
    <t>1) Enter a 500-character Email.
2) Click Search.</t>
  </si>
  <si>
    <t>Email = 500-character string (structurally email-like).</t>
  </si>
  <si>
    <t>The field accepts up to 500 characters (String(500)); the search executes. No search-side email-format validation is documented (RG-05).</t>
  </si>
  <si>
    <t>Boundary — Cell Phone at 50 characters (max) and 51 (over)
Technique: Boundary Value Analysis
Req: FR-17; §3.1 (CellPhone String(50)); RG-04, RG-10</t>
  </si>
  <si>
    <t>On Customer Search with a valid name present (so validation passes) (AS-03).</t>
  </si>
  <si>
    <t>1) Enter a valid name and a 50-character Cell Phone; Search.
2) Repeat with a 51-character Cell Phone.</t>
  </si>
  <si>
    <t>First = "Lee"; Last = "Zinn"; Cell Phone = 50-char string, then 51-char string.</t>
  </si>
  <si>
    <t>50 characters is accepted (String(50)); at 51 the field should cap or reject (behaviour undocumented — RG-04). Cell-phone normalisation for matching is unspecified (RG-10).</t>
  </si>
  <si>
    <t>State Transition Testing — search/results state, clearing &amp; criteria reset</t>
  </si>
  <si>
    <t>State transition — from empty to populated results after a valid search
Technique: State Transition Testing
Req: FR-06; §5.1 (actions 10/20/30/40)</t>
  </si>
  <si>
    <t>On Customer Search, brand context resolved (AS-03). No prior search this session (Results empty). States: S1 No-results → S2 Populated.</t>
  </si>
  <si>
    <t>1) Confirm Results is empty (S1).
2) Run a valid search.
3) Observe transition to populated Results (S2).</t>
  </si>
  <si>
    <t>Last Name = "Zinn"; First Name = "Lee".</t>
  </si>
  <si>
    <t>The Search event deletes prior CustomerSearch rows, inserts matches, resets criteria, and routes to a populated Customer Search Results grid.</t>
  </si>
  <si>
    <t>State transition — re-search clears prior results before repopulating
Technique: State Transition Testing
Req: FR-06; §5.1 (action 10 CustomerSearch Delete; Overview "clears prior results")</t>
  </si>
  <si>
    <t>A prior search populated Results (AS-03). States: S2 Populated(query A) → S2' Populated(query B).</t>
  </si>
  <si>
    <t>1) Run search A and view results.
2) Return to Customer Search.
3) Run search B.
4) Inspect Results.</t>
  </si>
  <si>
    <t>Query A: Last Name = "Zinn". Query B: Last Name = "Smith".</t>
  </si>
  <si>
    <t>Results shows only query B matches; query A's rows are cleared first (CustomerSearch Delete), so no stale rows remain.</t>
  </si>
  <si>
    <t>State transition — search criteria are reset after running
Technique: State Transition Testing
Req: FR-06, FR-07; §5.1 (action 40 Reset Search Criteria); §1.5</t>
  </si>
  <si>
    <t>1) Enter criteria and Search.
2) Navigate back to Customer Search.
3) Observe the criteria fields.</t>
  </si>
  <si>
    <t>The typed criteria are reset (cleared) after the search per action 40, so the fields are empty on return.</t>
  </si>
  <si>
    <t>State transition — blocked search keeps the associate on the search page
Technique: State Transition Testing
Req: FR-03; §5.1 (validation blocks)</t>
  </si>
  <si>
    <t>On Customer Search, brand context resolved (AS-03). States: S0 Search page → (invalid) → S0 (no transition).</t>
  </si>
  <si>
    <t>1) Enter an invalid criteria combination.
2) Click Search.</t>
  </si>
  <si>
    <t>First Name = "Lee" only (invalid per rule).</t>
  </si>
  <si>
    <t>No transition to Results; the associate remains on Customer Search; entered criteria are not lost to a route change (no CustomerSearch population occurs).</t>
  </si>
  <si>
    <t>State transition — Results grid is empty with no prior search
Technique: State Transition Testing
Req: FR-11; Results §1.4 (no prior search → empty)</t>
  </si>
  <si>
    <t>Fresh session; associate authenticated with brand context but has not run any search (AS-03).</t>
  </si>
  <si>
    <t>1) Navigate directly to Customer Search Results without running a search.
2) Observe the grid.</t>
  </si>
  <si>
    <t>None.</t>
  </si>
  <si>
    <t>The grid is empty (no CustomerSearch rows for the associate). No error; empty state per Results §1.4.</t>
  </si>
  <si>
    <t>Use Case Testing — end-to-end search, navigation &amp; preconditions</t>
  </si>
  <si>
    <t>End-to-end — brand/event confirm, search, then Scan into the Customer workspace
Technique: Use Case Testing
Req: FR-13; Overview US-CI-01/02/04/05; §1.6, Results §5.1</t>
  </si>
  <si>
    <t>Authenticated associate at GPP Home (AS-03 chain to be exercised).</t>
  </si>
  <si>
    <t>1) Home → Scan &amp; Size → confirm brand FORMCUT → confirm event.
2) On Customer Search, search by "Zinn".
3) On Results, click Scan on Lee Zinn.
4) Observe navigation.</t>
  </si>
  <si>
    <t>Brand = FORMCUT; Search Last Name = "Zinn"; select Lee Zinn.</t>
  </si>
  <si>
    <t>The associate reaches Customer Search Results, and Scan (Click Profile) primes the workspace and navigates to Customer?CustomerID={Lee Zinn id}. NOTE RG-02: the two Terms-gate validations may block entry if terms are unaccepted — flag if so.</t>
  </si>
  <si>
    <t>End-to-end — no match, then branch to Create Account
Technique: Use Case Testing
Req: FR-08; Overview US-CI-03; §2.2, §7</t>
  </si>
  <si>
    <t>On Customer Search, brand context = FORMCUT (AS-03).</t>
  </si>
  <si>
    <t>1) Search by a name that returns no match.
2) From Customer Search (or the results page), click Create Account.</t>
  </si>
  <si>
    <t>First = "Zoe"; Last = "West" (no match).</t>
  </si>
  <si>
    <t>The Customer Detail form opens in Insert mode scoped to the current brand (?$mode=Insert&amp;BrandID={CurrentOrderBrandID}).</t>
  </si>
  <si>
    <t>Create Account navigates to Customer Detail (Insert) carrying the current BrandID
Technique: Use Case Testing
Req: FR-08; §2.2 (Create Account precondition/effect), §7; button navigation map</t>
  </si>
  <si>
    <t>On Customer Search, brand context = FORMCUT (AS-03). No search required.</t>
  </si>
  <si>
    <t>1) Without searching, click Create Account ("New to FORMCUT?").
2) Inspect the opened URL/mode.</t>
  </si>
  <si>
    <t>Current brand = FORMCUT (cee965d4-...).</t>
  </si>
  <si>
    <t>Navigation to Customer Detail with $mode=Insert and BrandID = the current order brand; Create Account requires only that brand context is resolved.</t>
  </si>
  <si>
    <t>Search can be submitted by pressing Enter
Technique: Use Case Testing
Req: FR-04; §2.1 (Automatic Save on Enter), §2.2</t>
  </si>
  <si>
    <t>1) Enter valid criteria.
2) Press Enter (do not click the Search button).</t>
  </si>
  <si>
    <t>The Automatic Save on Enter template submits the search; behaviour is identical to clicking Search (validation then route to Results).</t>
  </si>
  <si>
    <t>Scan primes the Customer workspace and navigates by CustomerID
Technique: Use Case Testing
Req: FR-13; Results §5.1 (Click Profile 17 actions)</t>
  </si>
  <si>
    <t>On Customer Search Results with at least one row (AS-03).</t>
  </si>
  <si>
    <t>1) Click Scan on a result row.
2) Observe the resulting workspace and context.</t>
  </si>
  <si>
    <t>Row = Lee Zinn.</t>
  </si>
  <si>
    <t>Click Profile sets UserParam.CurrentCustomerID, links CustomerBrand, activates preferences and most-recent scan, sanitises country data, seeds a manual-measurements scan, resolves country codes, copies the event, then opens Customer?CustomerID={id}. (Terms validations 10/20 are de-scoped per R5 — RG-02.)</t>
  </si>
  <si>
    <t>Search button routes to the Customer Search Results page
Technique: Use Case Testing
Req: FR-04; §2.2 button navigation map (Search → Customer Search Results)</t>
  </si>
  <si>
    <t>1) Enter valid criteria.
2) Click Search.
3) Observe the destination page.</t>
  </si>
  <si>
    <t>The associate is routed to /app/GPP/Customer Search Results showing the matched rows.</t>
  </si>
  <si>
    <t>Precondition — reaching Customer Search without a resolved brand context
Technique: Use Case Testing
Req: FR-19; §1.5, §1.6; RG-15</t>
  </si>
  <si>
    <t>Associate authenticated but UserParam.CurrentOrderBrandID not set / no active event confirmed.</t>
  </si>
  <si>
    <t>1) Attempt to open Customer Search without confirming a brand/event upstream.
2) Observe behaviour.</t>
  </si>
  <si>
    <t>None (attempt to open Customer Search directly).</t>
  </si>
  <si>
    <t>Per §1.5/§1.6 the page requires a resolved brand context; behaviour when it is missing is undocumented (RG-15). Record whether the user is redirected to Brand/Event confirmation or shown an error, and raise as a clarification item.</t>
  </si>
  <si>
    <t>Checklist-based Testing — results grid &amp; brand-context UI</t>
  </si>
  <si>
    <t>Each result row displays Name, Email, and "Created via {Event}"
Technique: Checklist-based Testing
Req: FR-10; Results §2, §3.1 (FirstLast, Email, "Created via {Event}")</t>
  </si>
  <si>
    <t>On Customer Search Results with matches (AS-03, AS-07).</t>
  </si>
  <si>
    <t>1) Run the search.
2) Inspect each result row's fields.</t>
  </si>
  <si>
    <t>Search "Zinn" (returns Lee Zinn and others).</t>
  </si>
  <si>
    <t>Every row shows the customer name (First + Last), Email (e.g., leezinn@zudy.com), and the creation event line "Created via {Event}" (e.g., "Created via Default Event").</t>
  </si>
  <si>
    <t>Results grid supports per-column ascending/descending sort
Technique: Checklist-based Testing
Req: FR-14; Results §2.B (per-column sort); RG-07</t>
  </si>
  <si>
    <t>On Customer Search Results with multiple rows (AS-03).</t>
  </si>
  <si>
    <t>1) Hover a column header to reveal the sort control.
2) Sort ascending, then descending.
3) Observe row order.</t>
  </si>
  <si>
    <t>Search returning several rows (e.g., "Zinn" → 9 rows).</t>
  </si>
  <si>
    <t>Rows reorder by the chosen column ascending then descending. Default (pre-sort) order is unspecified (RG-07).</t>
  </si>
  <si>
    <t>Results panel exposes no Filter, Search, or Refresh control
Technique: Checklist-based Testing
Req: FR-16; Results §2.B, §2.C (no Filter/Search/Refresh)</t>
  </si>
  <si>
    <t>On Customer Search Results (AS-03).</t>
  </si>
  <si>
    <t>1) Inspect the panel-header toolbar.
2) Confirm which controls are present.</t>
  </si>
  <si>
    <t>No Filter, Search, or Refresh control is present; only Create, the "W" indicator, and per-column sort exist (the set is re-driven by re-running the entry-page Search).</t>
  </si>
  <si>
    <t>Brand label reflects the current order brand
Technique: Checklist-based Testing
Req: FR-01; §1, §1.6, §3.1 ("New to {Brand}?")</t>
  </si>
  <si>
    <t>Brand context confirmed as FORMCUT upstream (AS-03).</t>
  </si>
  <si>
    <t>1) Open Customer Search.
2) Inspect the brand-context label / "New to {Brand}?" text.</t>
  </si>
  <si>
    <t>Current order brand = FORMCUT.</t>
  </si>
  <si>
    <t>The page shows the current order brand (e.g., "New to FORMCUT?"); there is no brand selector on this page (brand is resolved upstream).</t>
  </si>
  <si>
    <t>R5 verification — Terms &amp; Conditions row action should be absent (implementation check)
Technique: Checklist-based Testing
Req: FR-18; Overview R5; Results §2, §8 (Terms still renders live); RG-02</t>
  </si>
  <si>
    <t>On Customer Search Results with rows (AS-03). BRD R5 de-scopes Terms.</t>
  </si>
  <si>
    <t>1) Inspect each result row's actions.
2) Check for a "Terms &amp; Conditions" (formerly "Review Terms") control and the row-name link to the Terms page.</t>
  </si>
  <si>
    <t>Any result row.</t>
  </si>
  <si>
    <t>Per R5 no Terms control should be present. The BRD notes it "still renders in the live UI" — if present, record it as an implementation-vs-BRD inconsistency (RG-02); only Scan is in scope.</t>
  </si>
  <si>
    <t>Error Guessing — input robustness &amp; R5 conflict checks</t>
  </si>
  <si>
    <t>Error guessing — whitespace-only criteria are treated as empty
Technique: Error Guessing
Req: FR-03; §5.1; RG-13</t>
  </si>
  <si>
    <t>On Customer Search, brand context resolved (AS-03). Trim behaviour undocumented (RG-13).</t>
  </si>
  <si>
    <t>1) Enter only spaces in First and Last.
2) Click Search.</t>
  </si>
  <si>
    <t>First Name = " " (spaces); Last Name = " " (spaces); Email/Cell empty.</t>
  </si>
  <si>
    <t>If criteria are trimmed, the fields count as empty and the search is blocked by the validation. Record the actual behaviour; a whitespace-only search that passes and returns all/no rows is a defect/clarification item (RG-13).</t>
  </si>
  <si>
    <t>Error guessing — leading/trailing spaces around a name or email
Technique: Error Guessing
Req: FR-05; Overview US-CI-02; RG-09, RG-13</t>
  </si>
  <si>
    <t>On Customer Search, brand context resolved (AS-03). Matching customer exists.</t>
  </si>
  <si>
    <t>1) Enter the name with surrounding spaces.
2) Click Search.</t>
  </si>
  <si>
    <t>Last Name = " Zinn "; First Name = " Lee ".</t>
  </si>
  <si>
    <t>Ideally the criteria are trimmed and the same matches are returned as the un-padded query. If padding suppresses matches, record it (RG-09/RG-13).</t>
  </si>
  <si>
    <t>Error guessing — special / SQL-like characters in search fields
Technique: Error Guessing
Req: FR-02; §3.1; RG-12 (security not specified)</t>
  </si>
  <si>
    <t>1) Enter special characters, SQL-like text, and wildcard-like characters.
2) Click Search.
3) Observe results and app stability.</t>
  </si>
  <si>
    <t>Last Name = "Zinn' OR '1'='1"; First Name = "%_"; Email = "a@b.com&lt;script&gt;".</t>
  </si>
  <si>
    <t>The application treats the input as literal search text — it must not error out, expose other data, or execute injected logic. Wildcard/special-character handling is unspecified; record behaviour and raise any unsafe result (RG-12).</t>
  </si>
  <si>
    <t>Error guessing — multiple-result set renders correctly
Technique: Error Guessing
Req: FR-12; Results §3.1 (9 rows for "Zinn"); RG-08</t>
  </si>
  <si>
    <t>On Customer Search, brand context = FORMCUT (AS-03, AS-07).</t>
  </si>
  <si>
    <t>1) Run a search that returns many rows.
2) Scroll and inspect the grid.</t>
  </si>
  <si>
    <t>Last Name = "Zinn" (returns ~9 rows).</t>
  </si>
  <si>
    <t>All matching rows render (reference: 9 rows for "Zinn"), each with Name/Email/"Created via {Event}". No pagination/limit is documented (RG-08) — record behaviour for large sets.</t>
  </si>
  <si>
    <t>TC-042</t>
  </si>
  <si>
    <t>R5 conflict — Scan of a customer with terms not accepted
Technique: Error Guessing
Req: FR-13, FR-18; Results §5.1 (Click Profile validations 10/20); Overview R5; RG-02</t>
  </si>
  <si>
    <t>On Customer Search Results; a matched customer whose IsTermsAccepted is false/absent (AS-03).</t>
  </si>
  <si>
    <t>1) Click Scan on the not-accepted-terms customer.
2) Observe whether the workspace opens.</t>
  </si>
  <si>
    <t>A result row for a customer that has not accepted brand terms.</t>
  </si>
  <si>
    <t>Per R5 (de-scoped Terms), Scan should open the Customer workspace regardless of terms acceptance. The live Click Profile still carries two Terms-gate validations that may block entry — if entry is blocked, record it as the RG-02 conflict/inconsistency requiring resolution.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</si>
</sst>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b/>
      <sz val="11"/>
      <name val="Calibri"/>
    </font>
    <font>
      <b/>
      <sz val="11"/>
      <color rgb="FFFFFFFF"/>
      <name val="Calibri"/>
    </font>
    <font>
      <b/>
      <sz val="11"/>
      <color rgb="FF833C0C"/>
      <name val="Calibri"/>
    </font>
    <font>
      <sz val="10"/>
      <name val="Calibri"/>
    </font>
    <font>
      <b/>
      <sz val="11"/>
      <color rgb="FF000000"/>
      <name val="Cambria"/>
      <scheme val="major"/>
    </font>
    <font>
      <sz val="11"/>
      <color rgb="FF000000"/>
      <name val="Cambria"/>
      <scheme val="major"/>
    </font>
    <font>
      <b/>
      <sz val="10"/>
      <color rgb="FF000000"/>
      <name val="Cambria"/>
      <scheme val="major"/>
    </font>
    <font>
      <sz val="10"/>
      <color rgb="FF000000"/>
      <name val="Cambria"/>
      <scheme val="major"/>
    </font>
    <font>
      <b/>
      <sz val="11"/>
      <color theme="1"/>
      <name val="Cambria"/>
      <scheme val="major"/>
    </font>
    <font>
      <sz val="11"/>
      <color theme="1"/>
      <name val="Cambria"/>
      <scheme val="major"/>
    </font>
    <font>
      <u/>
      <sz val="11"/>
      <color theme="10"/>
      <name val="Calibri"/>
      <family val="2"/>
      <scheme val="minor"/>
    </font>
    <font>
      <sz val="10"/>
      <color theme="1"/>
      <name val="Calibri"/>
      <family val="2"/>
      <scheme val="minor"/>
    </font>
    <font>
      <b/>
      <sz val="11"/>
      <color theme="1"/>
      <name val="Calibri"/>
    </font>
    <font>
      <sz val="11"/>
      <name val="Calibri"/>
    </font>
  </fonts>
  <fills count="9">
    <fill>
      <patternFill patternType="none"/>
    </fill>
    <fill>
      <patternFill patternType="gray125"/>
    </fill>
    <fill>
      <patternFill patternType="solid">
        <fgColor rgb="FFD9E1F2"/>
      </patternFill>
    </fill>
    <fill>
      <patternFill patternType="solid">
        <fgColor rgb="FF305496"/>
      </patternFill>
    </fill>
    <fill>
      <patternFill patternType="solid">
        <fgColor rgb="FFFCE4D6"/>
      </patternFill>
    </fill>
    <fill>
      <patternFill patternType="solid">
        <fgColor rgb="FFFFE599"/>
        <bgColor rgb="FF000000"/>
      </patternFill>
    </fill>
    <fill>
      <patternFill patternType="solid">
        <fgColor rgb="FFFFE599"/>
        <bgColor indexed="64"/>
      </patternFill>
    </fill>
    <fill>
      <patternFill patternType="solid">
        <fgColor rgb="FF305496"/>
        <bgColor indexed="64"/>
      </patternFill>
    </fill>
    <fill>
      <patternFill patternType="solid">
        <fgColor theme="0"/>
        <bgColor indexed="64"/>
      </patternFill>
    </fill>
  </fills>
  <borders count="8">
    <border>
      <left/>
      <right/>
      <top/>
      <bottom/>
      <diagonal/>
    </border>
    <border>
      <left style="thin">
        <color rgb="FF9CA3AF"/>
      </left>
      <right style="thin">
        <color rgb="FF9CA3AF"/>
      </right>
      <top style="thin">
        <color rgb="FF9CA3AF"/>
      </top>
      <bottom style="thin">
        <color rgb="FF9CA3AF"/>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bottom/>
      <diagonal/>
    </border>
  </borders>
  <cellStyleXfs count="2">
    <xf numFmtId="0" fontId="0" fillId="0" borderId="0"/>
    <xf numFmtId="0" fontId="11" fillId="0" borderId="0"/>
  </cellStyleXfs>
  <cellXfs count="36">
    <xf numFmtId="0" fontId="0" fillId="0" borderId="0" xfId="0"/>
    <xf numFmtId="0" fontId="1" fillId="2" borderId="0" xfId="0" applyFont="1" applyFill="1"/>
    <xf numFmtId="0" fontId="2" fillId="3" borderId="0" xfId="0" applyFont="1" applyFill="1" applyAlignment="1">
      <alignment horizontal="center" vertical="center"/>
    </xf>
    <xf numFmtId="0" fontId="1" fillId="0" borderId="0" xfId="0" applyFont="1"/>
    <xf numFmtId="0" fontId="2" fillId="3" borderId="1" xfId="0" applyFont="1" applyFill="1" applyBorder="1" applyAlignment="1">
      <alignment horizontal="center" vertical="center"/>
    </xf>
    <xf numFmtId="0" fontId="4" fillId="0" borderId="1" xfId="0" applyFont="1" applyBorder="1" applyAlignment="1">
      <alignment horizontal="left" vertical="top" wrapText="1"/>
    </xf>
    <xf numFmtId="0" fontId="5" fillId="5" borderId="2" xfId="0" applyFont="1" applyFill="1" applyBorder="1" applyAlignment="1">
      <alignment vertical="top" wrapText="1" readingOrder="1"/>
    </xf>
    <xf numFmtId="0" fontId="6" fillId="6" borderId="3" xfId="0" applyFont="1" applyFill="1" applyBorder="1" applyAlignment="1">
      <alignment vertical="center" wrapText="1" readingOrder="1"/>
    </xf>
    <xf numFmtId="9" fontId="6" fillId="6" borderId="4" xfId="0" applyNumberFormat="1" applyFont="1" applyFill="1" applyBorder="1" applyAlignment="1">
      <alignment vertical="center" wrapText="1" readingOrder="1"/>
    </xf>
    <xf numFmtId="0" fontId="7" fillId="5" borderId="2" xfId="0" applyFont="1" applyFill="1" applyBorder="1" applyAlignment="1">
      <alignment vertical="top" wrapText="1" readingOrder="1"/>
    </xf>
    <xf numFmtId="0" fontId="8" fillId="6" borderId="3" xfId="0" applyFont="1" applyFill="1" applyBorder="1" applyAlignment="1">
      <alignment vertical="center" wrapText="1" readingOrder="1"/>
    </xf>
    <xf numFmtId="9" fontId="8" fillId="6" borderId="4" xfId="0" applyNumberFormat="1" applyFont="1" applyFill="1" applyBorder="1" applyAlignment="1">
      <alignment vertical="center" wrapText="1" readingOrder="1"/>
    </xf>
    <xf numFmtId="0" fontId="9" fillId="0" borderId="5" xfId="0" applyFont="1" applyBorder="1" applyAlignment="1">
      <alignment horizontal="left" vertical="center"/>
    </xf>
    <xf numFmtId="0" fontId="10" fillId="0" borderId="4" xfId="0" applyFont="1" applyBorder="1" applyAlignment="1">
      <alignment vertical="center" wrapText="1"/>
    </xf>
    <xf numFmtId="0" fontId="9" fillId="0" borderId="6" xfId="0" applyFont="1" applyBorder="1" applyAlignment="1">
      <alignment horizontal="left" vertical="center"/>
    </xf>
    <xf numFmtId="0" fontId="9" fillId="0" borderId="4" xfId="0" applyFont="1" applyBorder="1" applyAlignment="1">
      <alignment vertical="center" wrapText="1"/>
    </xf>
    <xf numFmtId="0" fontId="12" fillId="0" borderId="0" xfId="0" applyFont="1"/>
    <xf numFmtId="0" fontId="9" fillId="0" borderId="0" xfId="0" applyFont="1" applyAlignment="1">
      <alignment horizontal="left" vertical="center"/>
    </xf>
    <xf numFmtId="0" fontId="9" fillId="0" borderId="0" xfId="0" applyFont="1" applyAlignment="1">
      <alignment vertical="center" wrapText="1"/>
    </xf>
    <xf numFmtId="0" fontId="2" fillId="7" borderId="0" xfId="0" applyFont="1" applyFill="1" applyAlignment="1">
      <alignment horizontal="center"/>
    </xf>
    <xf numFmtId="0" fontId="2" fillId="7" borderId="0" xfId="0" applyFont="1" applyFill="1" applyAlignment="1">
      <alignment horizontal="center" vertical="center"/>
    </xf>
    <xf numFmtId="0" fontId="14" fillId="0" borderId="0" xfId="0" applyFont="1" applyAlignment="1">
      <alignment horizontal="left" vertical="top" wrapText="1"/>
    </xf>
    <xf numFmtId="0" fontId="4" fillId="0" borderId="1" xfId="1" applyFont="1" applyBorder="1" applyAlignment="1">
      <alignment horizontal="left" vertical="top" wrapText="1"/>
    </xf>
    <xf numFmtId="0" fontId="14" fillId="0" borderId="7" xfId="0" applyFont="1" applyBorder="1"/>
    <xf numFmtId="0" fontId="3" fillId="4" borderId="0" xfId="0" applyFont="1" applyFill="1" applyAlignment="1">
      <alignment horizontal="left" vertical="center"/>
    </xf>
    <xf numFmtId="0" fontId="0" fillId="0" borderId="0" xfId="0"/>
    <xf numFmtId="0" fontId="1" fillId="8" borderId="2" xfId="0" applyFont="1" applyFill="1" applyBorder="1"/>
    <xf numFmtId="0" fontId="0" fillId="0" borderId="2" xfId="0" applyBorder="1"/>
    <xf numFmtId="164" fontId="0" fillId="0" borderId="2" xfId="0" applyNumberFormat="1" applyBorder="1"/>
    <xf numFmtId="0" fontId="1" fillId="0" borderId="2" xfId="0" applyFont="1" applyBorder="1"/>
    <xf numFmtId="0" fontId="13" fillId="0" borderId="2" xfId="0" applyFont="1" applyBorder="1"/>
    <xf numFmtId="164" fontId="13" fillId="0" borderId="2" xfId="0" applyNumberFormat="1" applyFont="1" applyBorder="1"/>
    <xf numFmtId="0" fontId="2" fillId="3" borderId="1" xfId="0" applyFont="1" applyFill="1" applyBorder="1" applyAlignment="1">
      <alignment horizontal="center" vertical="center" wrapText="1"/>
    </xf>
    <xf numFmtId="0" fontId="3" fillId="4" borderId="0" xfId="0" applyFont="1" applyFill="1" applyAlignment="1">
      <alignment horizontal="left" vertical="center" wrapText="1"/>
    </xf>
    <xf numFmtId="0" fontId="0" fillId="0" borderId="0" xfId="0" applyAlignment="1">
      <alignment wrapText="1"/>
    </xf>
    <xf numFmtId="0" fontId="12" fillId="0" borderId="0" xfId="0" applyFont="1" applyAlignment="1">
      <alignment wrapText="1"/>
    </xf>
  </cellXfs>
  <cellStyles count="2">
    <cellStyle name="Hyperlink" xfId="1" builtinId="8"/>
    <cellStyle name="Normal" xfId="0" builtinId="0"/>
  </cellStyles>
  <dxfs count="8">
    <dxf>
      <font>
        <color rgb="FF9C0006"/>
      </font>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workbookViewId="0">
      <selection activeCell="C7" sqref="C7"/>
    </sheetView>
  </sheetViews>
  <sheetFormatPr defaultRowHeight="14.3" x14ac:dyDescent="0.25"/>
  <cols>
    <col min="1" max="1" width="40" customWidth="1"/>
    <col min="2" max="2" width="12" customWidth="1"/>
    <col min="3" max="3" width="14" customWidth="1"/>
    <col min="4" max="4" width="8.625" bestFit="1" customWidth="1"/>
    <col min="5" max="5" width="7.25" bestFit="1" customWidth="1"/>
    <col min="6" max="6" width="6.375" bestFit="1" customWidth="1"/>
    <col min="7" max="7" width="8.25" bestFit="1" customWidth="1"/>
    <col min="8" max="8" width="8.125" bestFit="1" customWidth="1"/>
    <col min="9" max="9" width="8.25" bestFit="1" customWidth="1"/>
    <col min="10" max="10" width="6.125" bestFit="1" customWidth="1"/>
    <col min="11" max="11" width="10.875" bestFit="1" customWidth="1"/>
    <col min="12" max="12" width="11.75" bestFit="1" customWidth="1"/>
  </cols>
  <sheetData>
    <row r="1" spans="1:12" x14ac:dyDescent="0.25">
      <c r="A1" s="1" t="s">
        <v>270</v>
      </c>
      <c r="B1" t="s">
        <v>1</v>
      </c>
    </row>
    <row r="2" spans="1:12" x14ac:dyDescent="0.25">
      <c r="A2" s="1" t="s">
        <v>271</v>
      </c>
      <c r="B2" t="s">
        <v>272</v>
      </c>
    </row>
    <row r="3" spans="1:12" x14ac:dyDescent="0.25">
      <c r="A3" s="1" t="s">
        <v>273</v>
      </c>
      <c r="B3" t="s">
        <v>5</v>
      </c>
    </row>
    <row r="4" spans="1:12" x14ac:dyDescent="0.25">
      <c r="A4" s="1" t="s">
        <v>274</v>
      </c>
      <c r="B4" t="s">
        <v>275</v>
      </c>
    </row>
    <row r="6" spans="1:12" x14ac:dyDescent="0.25">
      <c r="A6" s="2" t="s">
        <v>276</v>
      </c>
      <c r="B6" s="2" t="s">
        <v>277</v>
      </c>
      <c r="C6" s="2" t="s">
        <v>278</v>
      </c>
      <c r="D6" s="20" t="s">
        <v>279</v>
      </c>
      <c r="E6" s="19" t="s">
        <v>7</v>
      </c>
      <c r="F6" s="19" t="s">
        <v>9</v>
      </c>
      <c r="G6" s="19" t="s">
        <v>11</v>
      </c>
      <c r="H6" s="19" t="s">
        <v>12</v>
      </c>
      <c r="I6" s="19" t="s">
        <v>13</v>
      </c>
      <c r="J6" s="19" t="s">
        <v>280</v>
      </c>
      <c r="K6" s="19" t="s">
        <v>281</v>
      </c>
      <c r="L6" s="19" t="s">
        <v>282</v>
      </c>
    </row>
    <row r="7" spans="1:12" x14ac:dyDescent="0.25">
      <c r="A7" s="26" t="s">
        <v>283</v>
      </c>
      <c r="B7" s="27">
        <v>1</v>
      </c>
      <c r="C7" s="27">
        <f>'a. Customer Account Creation'!F1</f>
        <v>41</v>
      </c>
      <c r="D7" s="27">
        <f>C7-I7</f>
        <v>41</v>
      </c>
      <c r="E7" s="27">
        <f>COUNTIF('a. Customer Account Creation'!L:L,"Passed")</f>
        <v>0</v>
      </c>
      <c r="F7" s="27">
        <f>COUNTIF('a. Customer Account Creation'!L:L,"Failed")</f>
        <v>0</v>
      </c>
      <c r="G7" s="27">
        <f>COUNTIF('a. Customer Account Creation'!L:L,"Pending")</f>
        <v>0</v>
      </c>
      <c r="H7" s="27">
        <f>COUNTIF('a. Customer Account Creation'!L:L,"Blocked")</f>
        <v>0</v>
      </c>
      <c r="I7" s="27">
        <f>COUNTIF('a. Customer Account Creation'!L:L,"Not test")</f>
        <v>0</v>
      </c>
      <c r="J7" s="27">
        <f>COUNTIFS('a. Customer Account Creation'!B:B,"TC-*",'a. Customer Account Creation'!L:L,"")</f>
        <v>41</v>
      </c>
      <c r="K7" s="28">
        <f>IF(D7=0,"N/A",(E7+F7+H7)/D7)</f>
        <v>0</v>
      </c>
      <c r="L7" s="28">
        <f>IF(D7=0,"N/A",E7/D7)</f>
        <v>0</v>
      </c>
    </row>
    <row r="8" spans="1:12" x14ac:dyDescent="0.25">
      <c r="A8" s="26" t="s">
        <v>284</v>
      </c>
      <c r="B8" s="27">
        <v>5</v>
      </c>
      <c r="C8" s="27">
        <f>'b. Customer Search'!F1</f>
        <v>42</v>
      </c>
      <c r="D8" s="27">
        <f>C8-I8</f>
        <v>42</v>
      </c>
      <c r="E8" s="27">
        <f>COUNTIF('b. Customer Search'!L:L,"Passed")</f>
        <v>0</v>
      </c>
      <c r="F8" s="27">
        <f>COUNTIF('b. Customer Search'!L:L,"Failed")</f>
        <v>0</v>
      </c>
      <c r="G8" s="27">
        <f>COUNTIF('b. Customer Search'!L:L,"Pending")</f>
        <v>0</v>
      </c>
      <c r="H8" s="27">
        <f>COUNTIF('b. Customer Search'!L:L,"Blocked")</f>
        <v>0</v>
      </c>
      <c r="I8" s="27">
        <f>COUNTIF('b. Customer Search'!L:L,"Not test")</f>
        <v>0</v>
      </c>
      <c r="J8" s="27">
        <f>COUNTIFS('b. Customer Search'!B:B,"TC-*",'b. Customer Search'!L:L,"")</f>
        <v>42</v>
      </c>
      <c r="K8" s="28">
        <f>IF(D8=0,"N/A",(E8+F8+H8)/D8)</f>
        <v>0</v>
      </c>
      <c r="L8" s="28">
        <f>IF(D8=0,"N/A",E8/D8)</f>
        <v>0</v>
      </c>
    </row>
    <row r="9" spans="1:12" x14ac:dyDescent="0.25">
      <c r="A9" s="26"/>
      <c r="B9" s="27"/>
      <c r="C9" s="27"/>
      <c r="D9" s="27"/>
      <c r="E9" s="27"/>
      <c r="F9" s="27"/>
      <c r="G9" s="27"/>
      <c r="H9" s="27"/>
      <c r="I9" s="27"/>
      <c r="J9" s="27"/>
      <c r="K9" s="28"/>
      <c r="L9" s="28"/>
    </row>
    <row r="10" spans="1:12" x14ac:dyDescent="0.25">
      <c r="A10" s="26"/>
      <c r="B10" s="27"/>
      <c r="C10" s="27"/>
      <c r="D10" s="27"/>
      <c r="E10" s="27"/>
      <c r="F10" s="27"/>
      <c r="G10" s="27"/>
      <c r="H10" s="27"/>
      <c r="I10" s="27"/>
      <c r="J10" s="27"/>
      <c r="K10" s="28"/>
      <c r="L10" s="28"/>
    </row>
    <row r="11" spans="1:12" x14ac:dyDescent="0.25">
      <c r="A11" s="26"/>
      <c r="B11" s="27"/>
      <c r="C11" s="27"/>
      <c r="D11" s="27"/>
      <c r="E11" s="27"/>
      <c r="F11" s="27"/>
      <c r="G11" s="27"/>
      <c r="H11" s="27"/>
      <c r="I11" s="27"/>
      <c r="J11" s="27"/>
      <c r="K11" s="28"/>
      <c r="L11" s="28"/>
    </row>
    <row r="12" spans="1:12" x14ac:dyDescent="0.25">
      <c r="A12" s="26"/>
      <c r="B12" s="27"/>
      <c r="C12" s="27"/>
      <c r="D12" s="27"/>
      <c r="E12" s="27"/>
      <c r="F12" s="27"/>
      <c r="G12" s="27"/>
      <c r="H12" s="27"/>
      <c r="I12" s="27"/>
      <c r="J12" s="27"/>
      <c r="K12" s="28"/>
      <c r="L12" s="28"/>
    </row>
    <row r="13" spans="1:12" x14ac:dyDescent="0.25">
      <c r="A13" s="26"/>
      <c r="B13" s="27"/>
      <c r="C13" s="27"/>
      <c r="D13" s="27"/>
      <c r="E13" s="27"/>
      <c r="F13" s="27"/>
      <c r="G13" s="27"/>
      <c r="H13" s="27"/>
      <c r="I13" s="27"/>
      <c r="J13" s="27"/>
      <c r="K13" s="28"/>
      <c r="L13" s="28"/>
    </row>
    <row r="14" spans="1:12" x14ac:dyDescent="0.25">
      <c r="A14" s="26"/>
      <c r="B14" s="27"/>
      <c r="C14" s="27"/>
      <c r="D14" s="27"/>
      <c r="E14" s="27"/>
      <c r="F14" s="27"/>
      <c r="G14" s="27"/>
      <c r="H14" s="27"/>
      <c r="I14" s="27"/>
      <c r="J14" s="27"/>
      <c r="K14" s="28"/>
      <c r="L14" s="28"/>
    </row>
    <row r="15" spans="1:12" x14ac:dyDescent="0.25">
      <c r="A15" s="26"/>
      <c r="B15" s="27"/>
      <c r="C15" s="27"/>
      <c r="D15" s="27"/>
      <c r="E15" s="27"/>
      <c r="F15" s="27"/>
      <c r="G15" s="27"/>
      <c r="H15" s="27"/>
      <c r="I15" s="27"/>
      <c r="J15" s="27"/>
      <c r="K15" s="28"/>
      <c r="L15" s="28"/>
    </row>
    <row r="16" spans="1:12" x14ac:dyDescent="0.25">
      <c r="A16" s="26"/>
      <c r="B16" s="27"/>
      <c r="C16" s="27"/>
      <c r="D16" s="27"/>
      <c r="E16" s="27"/>
      <c r="F16" s="27"/>
      <c r="G16" s="27"/>
      <c r="H16" s="27"/>
      <c r="I16" s="27"/>
      <c r="J16" s="27"/>
      <c r="K16" s="28"/>
      <c r="L16" s="28"/>
    </row>
    <row r="17" spans="1:12" x14ac:dyDescent="0.25">
      <c r="A17" s="29" t="s">
        <v>285</v>
      </c>
      <c r="B17" s="29">
        <f t="shared" ref="B17:J17" si="0">SUM(B7:B16)</f>
        <v>6</v>
      </c>
      <c r="C17" s="29">
        <f t="shared" si="0"/>
        <v>83</v>
      </c>
      <c r="D17" s="29">
        <f t="shared" si="0"/>
        <v>83</v>
      </c>
      <c r="E17" s="30">
        <f t="shared" si="0"/>
        <v>0</v>
      </c>
      <c r="F17" s="30">
        <f t="shared" si="0"/>
        <v>0</v>
      </c>
      <c r="G17" s="30">
        <f t="shared" si="0"/>
        <v>0</v>
      </c>
      <c r="H17" s="30">
        <f t="shared" si="0"/>
        <v>0</v>
      </c>
      <c r="I17" s="30">
        <f t="shared" si="0"/>
        <v>0</v>
      </c>
      <c r="J17" s="30">
        <f t="shared" si="0"/>
        <v>83</v>
      </c>
      <c r="K17" s="31">
        <f>IF(D17=0,"N/A",(E17+F17+H17)/D17)</f>
        <v>0</v>
      </c>
      <c r="L17" s="31">
        <f>IF(D17=0,"N/A",E17/D17)</f>
        <v>0</v>
      </c>
    </row>
  </sheetData>
  <conditionalFormatting sqref="K7:K17">
    <cfRule type="colorScale" priority="1">
      <colorScale>
        <cfvo type="min"/>
        <cfvo type="percent" val="50"/>
        <cfvo type="max"/>
        <color rgb="FFFF0000"/>
        <color rgb="FFFFEB84"/>
        <color rgb="FF63BE7B"/>
      </colorScale>
    </cfRule>
  </conditionalFormatting>
  <conditionalFormatting sqref="L7:L17">
    <cfRule type="colorScale" priority="2">
      <colorScale>
        <cfvo type="min"/>
        <cfvo type="percent" val="50"/>
        <cfvo type="max"/>
        <color rgb="FFFF0000"/>
        <color rgb="FFFFEB84"/>
        <color rgb="FF63BE7B"/>
      </colorScale>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sheetViews>
  <sheetFormatPr defaultRowHeight="14.3" x14ac:dyDescent="0.25"/>
  <cols>
    <col min="1" max="1" width="18" customWidth="1"/>
    <col min="2" max="9" width="38" customWidth="1"/>
  </cols>
  <sheetData>
    <row r="1" spans="1:6" x14ac:dyDescent="0.25">
      <c r="A1" s="2" t="s">
        <v>286</v>
      </c>
      <c r="B1" s="2" t="s">
        <v>287</v>
      </c>
    </row>
    <row r="2" spans="1:6" x14ac:dyDescent="0.25">
      <c r="A2" s="3" t="s">
        <v>23</v>
      </c>
      <c r="B2" t="s">
        <v>6</v>
      </c>
      <c r="C2" t="s">
        <v>8</v>
      </c>
      <c r="D2" t="s">
        <v>10</v>
      </c>
    </row>
    <row r="3" spans="1:6" x14ac:dyDescent="0.25">
      <c r="A3" s="3" t="s">
        <v>25</v>
      </c>
      <c r="B3" t="s">
        <v>13</v>
      </c>
      <c r="C3" t="s">
        <v>7</v>
      </c>
      <c r="D3" t="s">
        <v>9</v>
      </c>
      <c r="E3" t="s">
        <v>11</v>
      </c>
      <c r="F3" t="s">
        <v>12</v>
      </c>
    </row>
    <row r="4" spans="1:6" x14ac:dyDescent="0.25">
      <c r="A4" s="3" t="s">
        <v>18</v>
      </c>
      <c r="B4" t="s">
        <v>34</v>
      </c>
      <c r="C4" t="s">
        <v>288</v>
      </c>
      <c r="D4" t="s">
        <v>289</v>
      </c>
      <c r="E4" t="s">
        <v>290</v>
      </c>
    </row>
    <row r="5" spans="1:6" x14ac:dyDescent="0.25">
      <c r="A5" s="3" t="s">
        <v>291</v>
      </c>
      <c r="B5" t="s">
        <v>292</v>
      </c>
    </row>
    <row r="6" spans="1:6" x14ac:dyDescent="0.25">
      <c r="A6" s="3" t="s">
        <v>293</v>
      </c>
      <c r="B6" t="s">
        <v>292</v>
      </c>
      <c r="C6" t="s">
        <v>294</v>
      </c>
      <c r="D6" t="s">
        <v>295</v>
      </c>
      <c r="E6" t="s">
        <v>296</v>
      </c>
      <c r="F6" t="s">
        <v>297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2"/>
  <sheetViews>
    <sheetView workbookViewId="0">
      <pane ySplit="5" topLeftCell="A6" activePane="bottomLeft" state="frozen"/>
      <selection pane="bottomLeft" activeCell="B81" sqref="B81"/>
    </sheetView>
  </sheetViews>
  <sheetFormatPr defaultRowHeight="14.3" x14ac:dyDescent="0.25"/>
  <cols>
    <col min="1" max="1" width="20" customWidth="1"/>
    <col min="2" max="2" width="55" customWidth="1"/>
    <col min="3" max="3" width="40" customWidth="1"/>
    <col min="4" max="4" width="28" customWidth="1"/>
    <col min="5" max="5" width="18" customWidth="1"/>
  </cols>
  <sheetData>
    <row r="1" spans="1:5" x14ac:dyDescent="0.25">
      <c r="A1" s="1" t="s">
        <v>270</v>
      </c>
      <c r="B1" t="s">
        <v>1</v>
      </c>
    </row>
    <row r="2" spans="1:5" x14ac:dyDescent="0.25">
      <c r="A2" s="1" t="s">
        <v>271</v>
      </c>
      <c r="B2" t="s">
        <v>298</v>
      </c>
    </row>
    <row r="3" spans="1:5" x14ac:dyDescent="0.25">
      <c r="A3" s="1" t="s">
        <v>273</v>
      </c>
      <c r="B3" t="s">
        <v>5</v>
      </c>
    </row>
    <row r="5" spans="1:5" x14ac:dyDescent="0.25">
      <c r="A5" s="2" t="s">
        <v>299</v>
      </c>
      <c r="B5" s="2" t="s">
        <v>300</v>
      </c>
      <c r="C5" s="2" t="s">
        <v>301</v>
      </c>
      <c r="D5" s="2" t="s">
        <v>302</v>
      </c>
      <c r="E5" s="2" t="s">
        <v>303</v>
      </c>
    </row>
    <row r="6" spans="1:5" x14ac:dyDescent="0.25">
      <c r="A6" s="21" t="s">
        <v>304</v>
      </c>
      <c r="B6" s="21" t="s">
        <v>305</v>
      </c>
      <c r="C6" s="21" t="s">
        <v>306</v>
      </c>
      <c r="D6" s="21" t="s">
        <v>307</v>
      </c>
      <c r="E6" s="21" t="s">
        <v>308</v>
      </c>
    </row>
    <row r="7" spans="1:5" x14ac:dyDescent="0.25">
      <c r="A7" s="21" t="s">
        <v>309</v>
      </c>
      <c r="B7" s="21" t="s">
        <v>310</v>
      </c>
      <c r="C7" s="21" t="s">
        <v>311</v>
      </c>
      <c r="D7" s="21" t="s">
        <v>307</v>
      </c>
      <c r="E7" s="21" t="s">
        <v>30</v>
      </c>
    </row>
    <row r="8" spans="1:5" x14ac:dyDescent="0.25">
      <c r="A8" s="21" t="s">
        <v>312</v>
      </c>
      <c r="B8" s="21" t="s">
        <v>313</v>
      </c>
      <c r="C8" s="21" t="s">
        <v>314</v>
      </c>
      <c r="D8" s="21" t="s">
        <v>307</v>
      </c>
      <c r="E8" s="21" t="s">
        <v>30</v>
      </c>
    </row>
    <row r="9" spans="1:5" x14ac:dyDescent="0.25">
      <c r="A9" s="21" t="s">
        <v>315</v>
      </c>
      <c r="B9" s="21" t="s">
        <v>316</v>
      </c>
      <c r="C9" s="21" t="s">
        <v>317</v>
      </c>
      <c r="D9" s="21" t="s">
        <v>307</v>
      </c>
      <c r="E9" s="21" t="s">
        <v>30</v>
      </c>
    </row>
    <row r="10" spans="1:5" x14ac:dyDescent="0.25">
      <c r="A10" s="21" t="s">
        <v>318</v>
      </c>
      <c r="B10" s="21" t="s">
        <v>319</v>
      </c>
      <c r="C10" s="21" t="s">
        <v>320</v>
      </c>
      <c r="D10" s="21" t="s">
        <v>307</v>
      </c>
      <c r="E10" s="21" t="s">
        <v>30</v>
      </c>
    </row>
    <row r="11" spans="1:5" x14ac:dyDescent="0.25">
      <c r="A11" s="21" t="s">
        <v>321</v>
      </c>
      <c r="B11" s="21" t="s">
        <v>322</v>
      </c>
      <c r="C11" s="21" t="s">
        <v>323</v>
      </c>
      <c r="D11" s="21" t="s">
        <v>307</v>
      </c>
      <c r="E11" s="21" t="s">
        <v>30</v>
      </c>
    </row>
    <row r="12" spans="1:5" x14ac:dyDescent="0.25">
      <c r="A12" s="21" t="s">
        <v>324</v>
      </c>
      <c r="B12" s="21" t="s">
        <v>325</v>
      </c>
      <c r="C12" s="21" t="s">
        <v>326</v>
      </c>
      <c r="D12" s="21" t="s">
        <v>307</v>
      </c>
      <c r="E12" s="21" t="s">
        <v>30</v>
      </c>
    </row>
    <row r="13" spans="1:5" x14ac:dyDescent="0.25">
      <c r="A13" s="21" t="s">
        <v>327</v>
      </c>
      <c r="B13" s="21" t="s">
        <v>328</v>
      </c>
      <c r="C13" s="21" t="s">
        <v>329</v>
      </c>
      <c r="D13" s="21" t="s">
        <v>307</v>
      </c>
      <c r="E13" s="21" t="s">
        <v>30</v>
      </c>
    </row>
    <row r="14" spans="1:5" x14ac:dyDescent="0.25">
      <c r="A14" s="21" t="s">
        <v>330</v>
      </c>
      <c r="B14" s="21" t="s">
        <v>331</v>
      </c>
      <c r="C14" s="21" t="s">
        <v>332</v>
      </c>
      <c r="D14" s="21" t="s">
        <v>307</v>
      </c>
      <c r="E14" s="21" t="s">
        <v>30</v>
      </c>
    </row>
    <row r="15" spans="1:5" x14ac:dyDescent="0.25">
      <c r="A15" s="21" t="s">
        <v>333</v>
      </c>
      <c r="B15" s="21" t="s">
        <v>334</v>
      </c>
      <c r="C15" s="21" t="s">
        <v>335</v>
      </c>
      <c r="D15" s="21" t="s">
        <v>307</v>
      </c>
      <c r="E15" s="21" t="s">
        <v>30</v>
      </c>
    </row>
    <row r="16" spans="1:5" x14ac:dyDescent="0.25">
      <c r="A16" s="21" t="s">
        <v>336</v>
      </c>
      <c r="B16" s="21" t="s">
        <v>337</v>
      </c>
      <c r="C16" s="21" t="s">
        <v>338</v>
      </c>
      <c r="D16" s="21" t="s">
        <v>307</v>
      </c>
      <c r="E16" s="21" t="s">
        <v>30</v>
      </c>
    </row>
    <row r="17" spans="1:5" x14ac:dyDescent="0.25">
      <c r="A17" s="21" t="s">
        <v>339</v>
      </c>
      <c r="B17" s="21" t="s">
        <v>340</v>
      </c>
      <c r="C17" s="21" t="s">
        <v>341</v>
      </c>
      <c r="D17" s="21" t="s">
        <v>307</v>
      </c>
      <c r="E17" s="21" t="s">
        <v>30</v>
      </c>
    </row>
    <row r="18" spans="1:5" x14ac:dyDescent="0.25">
      <c r="A18" s="21" t="s">
        <v>342</v>
      </c>
      <c r="B18" s="21" t="s">
        <v>343</v>
      </c>
      <c r="C18" s="21" t="s">
        <v>344</v>
      </c>
      <c r="D18" s="21" t="s">
        <v>307</v>
      </c>
      <c r="E18" s="21" t="s">
        <v>30</v>
      </c>
    </row>
    <row r="19" spans="1:5" x14ac:dyDescent="0.25">
      <c r="A19" s="21" t="s">
        <v>345</v>
      </c>
      <c r="B19" s="21" t="s">
        <v>346</v>
      </c>
      <c r="C19" s="21" t="s">
        <v>347</v>
      </c>
      <c r="D19" s="21" t="s">
        <v>307</v>
      </c>
      <c r="E19" s="21" t="s">
        <v>30</v>
      </c>
    </row>
    <row r="20" spans="1:5" ht="28.55" x14ac:dyDescent="0.25">
      <c r="A20" s="21" t="s">
        <v>348</v>
      </c>
      <c r="B20" s="21" t="s">
        <v>349</v>
      </c>
      <c r="C20" s="21" t="s">
        <v>208</v>
      </c>
      <c r="D20" s="21" t="s">
        <v>307</v>
      </c>
      <c r="E20" s="21" t="s">
        <v>30</v>
      </c>
    </row>
    <row r="21" spans="1:5" x14ac:dyDescent="0.25">
      <c r="A21" s="21" t="s">
        <v>350</v>
      </c>
      <c r="B21" s="21" t="s">
        <v>351</v>
      </c>
      <c r="C21" s="21" t="s">
        <v>352</v>
      </c>
      <c r="D21" s="21" t="s">
        <v>307</v>
      </c>
      <c r="E21" s="21" t="s">
        <v>30</v>
      </c>
    </row>
    <row r="22" spans="1:5" x14ac:dyDescent="0.25">
      <c r="A22" s="21" t="s">
        <v>353</v>
      </c>
      <c r="B22" s="21" t="s">
        <v>354</v>
      </c>
      <c r="C22" s="21" t="s">
        <v>355</v>
      </c>
      <c r="D22" s="21" t="s">
        <v>307</v>
      </c>
      <c r="E22" s="21" t="s">
        <v>356</v>
      </c>
    </row>
    <row r="23" spans="1:5" ht="28.55" x14ac:dyDescent="0.25">
      <c r="A23" s="21" t="s">
        <v>357</v>
      </c>
      <c r="B23" s="21" t="s">
        <v>358</v>
      </c>
      <c r="C23" s="21" t="s">
        <v>359</v>
      </c>
      <c r="D23" s="21" t="s">
        <v>307</v>
      </c>
      <c r="E23" s="21" t="s">
        <v>30</v>
      </c>
    </row>
    <row r="24" spans="1:5" x14ac:dyDescent="0.25">
      <c r="A24" s="21" t="s">
        <v>360</v>
      </c>
      <c r="B24" s="21" t="s">
        <v>361</v>
      </c>
      <c r="C24" s="21" t="s">
        <v>234</v>
      </c>
      <c r="D24" s="21" t="s">
        <v>362</v>
      </c>
      <c r="E24" s="21" t="s">
        <v>363</v>
      </c>
    </row>
    <row r="25" spans="1:5" x14ac:dyDescent="0.25">
      <c r="A25" s="21" t="s">
        <v>364</v>
      </c>
      <c r="B25" s="21" t="s">
        <v>365</v>
      </c>
      <c r="C25" s="21" t="s">
        <v>366</v>
      </c>
      <c r="D25" s="21" t="s">
        <v>362</v>
      </c>
      <c r="E25" s="21" t="s">
        <v>367</v>
      </c>
    </row>
    <row r="26" spans="1:5" ht="28.55" x14ac:dyDescent="0.25">
      <c r="A26" s="21" t="s">
        <v>368</v>
      </c>
      <c r="B26" s="21" t="s">
        <v>369</v>
      </c>
      <c r="C26" s="21" t="s">
        <v>370</v>
      </c>
      <c r="D26" s="21" t="s">
        <v>362</v>
      </c>
      <c r="E26" s="21" t="s">
        <v>367</v>
      </c>
    </row>
    <row r="27" spans="1:5" x14ac:dyDescent="0.25">
      <c r="A27" s="21" t="s">
        <v>371</v>
      </c>
      <c r="B27" s="21" t="s">
        <v>372</v>
      </c>
      <c r="C27" s="21" t="s">
        <v>373</v>
      </c>
      <c r="D27" s="21" t="s">
        <v>362</v>
      </c>
      <c r="E27" s="21" t="s">
        <v>367</v>
      </c>
    </row>
    <row r="28" spans="1:5" x14ac:dyDescent="0.25">
      <c r="A28" s="21" t="s">
        <v>374</v>
      </c>
      <c r="B28" s="21" t="s">
        <v>375</v>
      </c>
      <c r="C28" s="21" t="s">
        <v>376</v>
      </c>
      <c r="D28" s="21" t="s">
        <v>362</v>
      </c>
      <c r="E28" s="21" t="s">
        <v>367</v>
      </c>
    </row>
    <row r="29" spans="1:5" x14ac:dyDescent="0.25">
      <c r="A29" s="21" t="s">
        <v>377</v>
      </c>
      <c r="B29" s="21" t="s">
        <v>378</v>
      </c>
      <c r="C29" s="21" t="s">
        <v>379</v>
      </c>
      <c r="D29" s="21" t="s">
        <v>362</v>
      </c>
      <c r="E29" s="21" t="s">
        <v>367</v>
      </c>
    </row>
    <row r="30" spans="1:5" x14ac:dyDescent="0.25">
      <c r="A30" s="21" t="s">
        <v>380</v>
      </c>
      <c r="B30" s="21" t="s">
        <v>381</v>
      </c>
      <c r="C30" s="21" t="s">
        <v>94</v>
      </c>
      <c r="D30" s="21" t="s">
        <v>362</v>
      </c>
      <c r="E30" s="21" t="s">
        <v>367</v>
      </c>
    </row>
    <row r="31" spans="1:5" x14ac:dyDescent="0.25">
      <c r="A31" s="21" t="s">
        <v>382</v>
      </c>
      <c r="B31" s="21" t="s">
        <v>383</v>
      </c>
      <c r="C31" s="21" t="s">
        <v>384</v>
      </c>
      <c r="D31" s="21" t="s">
        <v>362</v>
      </c>
      <c r="E31" s="21" t="s">
        <v>308</v>
      </c>
    </row>
    <row r="32" spans="1:5" ht="28.55" x14ac:dyDescent="0.25">
      <c r="A32" s="21" t="s">
        <v>385</v>
      </c>
      <c r="B32" s="21" t="s">
        <v>386</v>
      </c>
      <c r="C32" s="21" t="s">
        <v>387</v>
      </c>
      <c r="D32" s="21" t="s">
        <v>362</v>
      </c>
      <c r="E32" s="21" t="s">
        <v>388</v>
      </c>
    </row>
    <row r="33" spans="1:5" x14ac:dyDescent="0.25">
      <c r="A33" s="21" t="s">
        <v>389</v>
      </c>
      <c r="B33" s="21" t="s">
        <v>390</v>
      </c>
      <c r="C33" s="21" t="s">
        <v>221</v>
      </c>
      <c r="D33" s="21" t="s">
        <v>362</v>
      </c>
      <c r="E33" s="21" t="s">
        <v>388</v>
      </c>
    </row>
    <row r="34" spans="1:5" ht="28.55" x14ac:dyDescent="0.25">
      <c r="A34" s="21" t="s">
        <v>391</v>
      </c>
      <c r="B34" s="21" t="s">
        <v>392</v>
      </c>
      <c r="C34" s="21" t="s">
        <v>103</v>
      </c>
      <c r="D34" s="21" t="s">
        <v>362</v>
      </c>
      <c r="E34" s="21" t="s">
        <v>388</v>
      </c>
    </row>
    <row r="35" spans="1:5" ht="28.55" x14ac:dyDescent="0.25">
      <c r="A35" s="21" t="s">
        <v>393</v>
      </c>
      <c r="B35" s="21" t="s">
        <v>394</v>
      </c>
      <c r="C35" s="21" t="s">
        <v>252</v>
      </c>
      <c r="D35" s="21" t="s">
        <v>362</v>
      </c>
      <c r="E35" s="21" t="s">
        <v>388</v>
      </c>
    </row>
    <row r="36" spans="1:5" ht="28.55" x14ac:dyDescent="0.25">
      <c r="A36" s="21" t="s">
        <v>395</v>
      </c>
      <c r="B36" s="21" t="s">
        <v>396</v>
      </c>
      <c r="C36" s="21" t="s">
        <v>397</v>
      </c>
      <c r="D36" s="21" t="s">
        <v>362</v>
      </c>
      <c r="E36" s="21" t="s">
        <v>356</v>
      </c>
    </row>
    <row r="37" spans="1:5" ht="28.55" x14ac:dyDescent="0.25">
      <c r="A37" s="21" t="s">
        <v>398</v>
      </c>
      <c r="B37" s="21" t="s">
        <v>399</v>
      </c>
      <c r="C37" s="21" t="s">
        <v>126</v>
      </c>
      <c r="D37" s="21" t="s">
        <v>362</v>
      </c>
      <c r="E37" s="21" t="s">
        <v>388</v>
      </c>
    </row>
    <row r="38" spans="1:5" ht="28.55" x14ac:dyDescent="0.25">
      <c r="A38" s="21" t="s">
        <v>400</v>
      </c>
      <c r="B38" s="21" t="s">
        <v>401</v>
      </c>
      <c r="C38" s="21" t="s">
        <v>132</v>
      </c>
      <c r="D38" s="21" t="s">
        <v>362</v>
      </c>
      <c r="E38" s="21" t="s">
        <v>388</v>
      </c>
    </row>
    <row r="39" spans="1:5" ht="28.55" x14ac:dyDescent="0.25">
      <c r="A39" s="21" t="s">
        <v>402</v>
      </c>
      <c r="B39" s="21" t="s">
        <v>403</v>
      </c>
      <c r="C39" s="21" t="s">
        <v>132</v>
      </c>
      <c r="D39" s="21" t="s">
        <v>362</v>
      </c>
      <c r="E39" s="21" t="s">
        <v>388</v>
      </c>
    </row>
    <row r="40" spans="1:5" x14ac:dyDescent="0.25">
      <c r="A40" s="21" t="s">
        <v>404</v>
      </c>
      <c r="B40" s="21" t="s">
        <v>405</v>
      </c>
      <c r="C40" s="21" t="s">
        <v>406</v>
      </c>
      <c r="D40" s="21" t="s">
        <v>362</v>
      </c>
      <c r="E40" s="21" t="s">
        <v>367</v>
      </c>
    </row>
    <row r="41" spans="1:5" x14ac:dyDescent="0.25">
      <c r="A41" s="21" t="s">
        <v>407</v>
      </c>
      <c r="B41" s="21" t="s">
        <v>408</v>
      </c>
      <c r="C41" s="21" t="s">
        <v>409</v>
      </c>
      <c r="D41" s="21" t="s">
        <v>362</v>
      </c>
      <c r="E41" s="21" t="s">
        <v>356</v>
      </c>
    </row>
    <row r="42" spans="1:5" x14ac:dyDescent="0.25">
      <c r="A42" s="21" t="s">
        <v>410</v>
      </c>
      <c r="B42" s="21" t="s">
        <v>411</v>
      </c>
      <c r="C42" s="21" t="s">
        <v>258</v>
      </c>
      <c r="D42" s="21" t="s">
        <v>362</v>
      </c>
      <c r="E42" s="21" t="s">
        <v>363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77"/>
  <sheetViews>
    <sheetView workbookViewId="0">
      <pane ySplit="9" topLeftCell="A55" activePane="bottomLeft" state="frozen"/>
      <selection pane="bottomLeft" activeCell="H55" sqref="H55"/>
    </sheetView>
  </sheetViews>
  <sheetFormatPr defaultRowHeight="14.3" x14ac:dyDescent="0.25"/>
  <cols>
    <col min="1" max="1" width="9.5" customWidth="1"/>
    <col min="2" max="2" width="11.875" customWidth="1"/>
    <col min="3" max="3" width="55" customWidth="1"/>
    <col min="4" max="4" width="30.25" customWidth="1"/>
    <col min="5" max="5" width="13.5" customWidth="1"/>
    <col min="6" max="6" width="35.875" customWidth="1"/>
    <col min="7" max="7" width="30" customWidth="1"/>
    <col min="8" max="8" width="60.625" customWidth="1"/>
    <col min="9" max="9" width="30" customWidth="1"/>
    <col min="10" max="10" width="10" customWidth="1"/>
    <col min="11" max="13" width="12" customWidth="1"/>
    <col min="14" max="14" width="10" customWidth="1"/>
    <col min="15" max="15" width="12" customWidth="1"/>
  </cols>
  <sheetData>
    <row r="1" spans="1:15" x14ac:dyDescent="0.25">
      <c r="A1" s="1" t="s">
        <v>0</v>
      </c>
      <c r="B1" s="1" t="s">
        <v>1</v>
      </c>
      <c r="E1" s="6" t="s">
        <v>2</v>
      </c>
      <c r="F1" s="7">
        <f>SUM(F2:F4)</f>
        <v>41</v>
      </c>
      <c r="G1" s="8">
        <f>F1/$F$1</f>
        <v>1</v>
      </c>
      <c r="I1" s="1" t="s">
        <v>3</v>
      </c>
      <c r="J1" s="1"/>
    </row>
    <row r="2" spans="1:15" x14ac:dyDescent="0.25">
      <c r="A2" s="1" t="s">
        <v>4</v>
      </c>
      <c r="B2" t="s">
        <v>5</v>
      </c>
      <c r="E2" s="9" t="s">
        <v>6</v>
      </c>
      <c r="F2" s="10">
        <f>COUNTIF($J$5:$J$970,E2)</f>
        <v>21</v>
      </c>
      <c r="G2" s="11">
        <f>F2/$F$1</f>
        <v>0.51219512195121952</v>
      </c>
      <c r="I2" s="12" t="s">
        <v>7</v>
      </c>
      <c r="J2" s="13">
        <f>COUNTIF($L:$L,I2)</f>
        <v>0</v>
      </c>
    </row>
    <row r="3" spans="1:15" x14ac:dyDescent="0.25">
      <c r="E3" s="9" t="s">
        <v>8</v>
      </c>
      <c r="F3" s="10">
        <f>COUNTIF($J$5:$J$970,E3)</f>
        <v>18</v>
      </c>
      <c r="G3" s="11">
        <f>F3/$F$1</f>
        <v>0.43902439024390244</v>
      </c>
      <c r="I3" s="12" t="s">
        <v>9</v>
      </c>
      <c r="J3" s="13">
        <f>COUNTIF($L:$L,I3)</f>
        <v>0</v>
      </c>
    </row>
    <row r="4" spans="1:15" x14ac:dyDescent="0.25">
      <c r="E4" s="9" t="s">
        <v>10</v>
      </c>
      <c r="F4" s="10">
        <f>COUNTIF($J$5:$J$970,E4)</f>
        <v>2</v>
      </c>
      <c r="G4" s="11">
        <f>F4/$F$1</f>
        <v>4.878048780487805E-2</v>
      </c>
      <c r="I4" s="12" t="s">
        <v>11</v>
      </c>
      <c r="J4" s="13">
        <f>COUNTIF($L:$L,I4)</f>
        <v>0</v>
      </c>
    </row>
    <row r="5" spans="1:15" x14ac:dyDescent="0.25">
      <c r="I5" s="12" t="s">
        <v>12</v>
      </c>
      <c r="J5" s="13">
        <f>COUNTIF($L:$L,I5)</f>
        <v>0</v>
      </c>
    </row>
    <row r="6" spans="1:15" x14ac:dyDescent="0.25">
      <c r="I6" s="14" t="s">
        <v>13</v>
      </c>
      <c r="J6" s="13">
        <f>COUNTIF($L:$L,I6)</f>
        <v>0</v>
      </c>
    </row>
    <row r="7" spans="1:15" ht="0.7" customHeight="1" x14ac:dyDescent="0.25">
      <c r="I7" s="12" t="s">
        <v>2</v>
      </c>
      <c r="J7" s="15">
        <f>SUM(J2:J6)</f>
        <v>0</v>
      </c>
    </row>
    <row r="8" spans="1:15" x14ac:dyDescent="0.25">
      <c r="I8" s="17"/>
      <c r="J8" s="18"/>
    </row>
    <row r="9" spans="1:15" ht="30.1" customHeight="1" x14ac:dyDescent="0.25">
      <c r="A9" s="32" t="s">
        <v>14</v>
      </c>
      <c r="B9" s="32" t="s">
        <v>15</v>
      </c>
      <c r="C9" s="32" t="s">
        <v>16</v>
      </c>
      <c r="D9" s="32" t="s">
        <v>17</v>
      </c>
      <c r="E9" s="32" t="s">
        <v>18</v>
      </c>
      <c r="F9" s="32" t="s">
        <v>19</v>
      </c>
      <c r="G9" s="32" t="s">
        <v>20</v>
      </c>
      <c r="H9" s="32" t="s">
        <v>21</v>
      </c>
      <c r="I9" s="32" t="s">
        <v>22</v>
      </c>
      <c r="J9" s="32" t="s">
        <v>23</v>
      </c>
      <c r="K9" s="32" t="s">
        <v>24</v>
      </c>
      <c r="L9" s="32" t="s">
        <v>25</v>
      </c>
      <c r="M9" s="32" t="s">
        <v>26</v>
      </c>
      <c r="N9" s="32" t="s">
        <v>27</v>
      </c>
      <c r="O9" s="32" t="s">
        <v>28</v>
      </c>
    </row>
    <row r="10" spans="1:15" ht="21.9" customHeight="1" x14ac:dyDescent="0.25">
      <c r="A10" s="33" t="s">
        <v>29</v>
      </c>
      <c r="B10" s="34"/>
      <c r="C10" s="34"/>
      <c r="D10" s="34"/>
      <c r="E10" s="34"/>
      <c r="F10" s="34"/>
      <c r="G10" s="34"/>
      <c r="H10" s="34"/>
      <c r="I10" s="34"/>
      <c r="J10" s="34"/>
      <c r="K10" s="34"/>
      <c r="L10" s="34"/>
      <c r="M10" s="34"/>
      <c r="N10" s="34"/>
      <c r="O10" s="34"/>
    </row>
    <row r="11" spans="1:15" ht="75.099999999999994" customHeight="1" x14ac:dyDescent="0.25">
      <c r="A11" s="5" t="s">
        <v>30</v>
      </c>
      <c r="B11" s="5" t="s">
        <v>31</v>
      </c>
      <c r="C11" s="5" t="s">
        <v>32</v>
      </c>
      <c r="D11" s="5" t="s">
        <v>33</v>
      </c>
      <c r="E11" s="5" t="s">
        <v>34</v>
      </c>
      <c r="F11" s="5" t="s">
        <v>35</v>
      </c>
      <c r="G11" s="5" t="s">
        <v>36</v>
      </c>
      <c r="H11" s="5" t="s">
        <v>37</v>
      </c>
      <c r="I11" s="5"/>
      <c r="J11" s="5" t="s">
        <v>6</v>
      </c>
      <c r="K11" s="5"/>
      <c r="L11" s="5"/>
      <c r="M11" s="5"/>
      <c r="N11" s="5"/>
      <c r="O11" s="5"/>
    </row>
    <row r="12" spans="1:15" ht="75.099999999999994" customHeight="1" x14ac:dyDescent="0.25">
      <c r="A12" s="5" t="s">
        <v>30</v>
      </c>
      <c r="B12" s="5" t="s">
        <v>38</v>
      </c>
      <c r="C12" s="5" t="s">
        <v>39</v>
      </c>
      <c r="D12" s="5" t="s">
        <v>40</v>
      </c>
      <c r="E12" s="5" t="s">
        <v>34</v>
      </c>
      <c r="F12" s="5" t="s">
        <v>41</v>
      </c>
      <c r="G12" s="5" t="s">
        <v>42</v>
      </c>
      <c r="H12" s="5" t="s">
        <v>43</v>
      </c>
      <c r="I12" s="5"/>
      <c r="J12" s="5" t="s">
        <v>6</v>
      </c>
      <c r="K12" s="5"/>
      <c r="L12" s="5"/>
      <c r="M12" s="5"/>
      <c r="N12" s="5"/>
      <c r="O12" s="5"/>
    </row>
    <row r="13" spans="1:15" ht="75.099999999999994" customHeight="1" x14ac:dyDescent="0.25">
      <c r="A13" s="5" t="s">
        <v>30</v>
      </c>
      <c r="B13" s="5" t="s">
        <v>44</v>
      </c>
      <c r="C13" s="5" t="s">
        <v>45</v>
      </c>
      <c r="D13" s="5" t="s">
        <v>40</v>
      </c>
      <c r="E13" s="5" t="s">
        <v>34</v>
      </c>
      <c r="F13" s="5" t="s">
        <v>46</v>
      </c>
      <c r="G13" s="5" t="s">
        <v>47</v>
      </c>
      <c r="H13" s="5" t="s">
        <v>48</v>
      </c>
      <c r="I13" s="5"/>
      <c r="J13" s="5" t="s">
        <v>6</v>
      </c>
      <c r="K13" s="5"/>
      <c r="L13" s="5"/>
      <c r="M13" s="5"/>
      <c r="N13" s="5"/>
      <c r="O13" s="5"/>
    </row>
    <row r="14" spans="1:15" ht="75.099999999999994" customHeight="1" x14ac:dyDescent="0.25">
      <c r="A14" s="5" t="s">
        <v>30</v>
      </c>
      <c r="B14" s="5" t="s">
        <v>49</v>
      </c>
      <c r="C14" s="5" t="s">
        <v>50</v>
      </c>
      <c r="D14" s="5" t="s">
        <v>40</v>
      </c>
      <c r="E14" s="5" t="s">
        <v>34</v>
      </c>
      <c r="F14" s="5" t="s">
        <v>51</v>
      </c>
      <c r="G14" s="5" t="s">
        <v>52</v>
      </c>
      <c r="H14" s="5" t="s">
        <v>53</v>
      </c>
      <c r="I14" s="5"/>
      <c r="J14" s="5" t="s">
        <v>6</v>
      </c>
      <c r="K14" s="5"/>
      <c r="L14" s="5"/>
      <c r="M14" s="5"/>
      <c r="N14" s="5"/>
      <c r="O14" s="5"/>
    </row>
    <row r="15" spans="1:15" ht="75.099999999999994" customHeight="1" x14ac:dyDescent="0.25">
      <c r="A15" s="5" t="s">
        <v>30</v>
      </c>
      <c r="B15" s="5" t="s">
        <v>54</v>
      </c>
      <c r="C15" s="5" t="s">
        <v>55</v>
      </c>
      <c r="D15" s="5" t="s">
        <v>40</v>
      </c>
      <c r="E15" s="5" t="s">
        <v>34</v>
      </c>
      <c r="F15" s="5" t="s">
        <v>56</v>
      </c>
      <c r="G15" s="5" t="s">
        <v>57</v>
      </c>
      <c r="H15" s="5" t="s">
        <v>58</v>
      </c>
      <c r="I15" s="5"/>
      <c r="J15" s="5" t="s">
        <v>6</v>
      </c>
      <c r="K15" s="5"/>
      <c r="L15" s="5"/>
      <c r="M15" s="5"/>
      <c r="N15" s="22"/>
      <c r="O15" s="5"/>
    </row>
    <row r="16" spans="1:15" ht="75.099999999999994" customHeight="1" x14ac:dyDescent="0.25">
      <c r="A16" s="5" t="s">
        <v>30</v>
      </c>
      <c r="B16" s="5" t="s">
        <v>59</v>
      </c>
      <c r="C16" s="5" t="s">
        <v>60</v>
      </c>
      <c r="D16" s="5" t="s">
        <v>61</v>
      </c>
      <c r="E16" s="5" t="s">
        <v>34</v>
      </c>
      <c r="F16" s="5" t="s">
        <v>62</v>
      </c>
      <c r="G16" s="5" t="s">
        <v>63</v>
      </c>
      <c r="H16" s="5" t="s">
        <v>64</v>
      </c>
      <c r="I16" s="5"/>
      <c r="J16" s="5" t="s">
        <v>8</v>
      </c>
      <c r="K16" s="5"/>
      <c r="L16" s="5"/>
      <c r="M16" s="5"/>
      <c r="N16" s="5"/>
      <c r="O16" s="5"/>
    </row>
    <row r="17" spans="1:15" ht="75.099999999999994" customHeight="1" x14ac:dyDescent="0.25">
      <c r="A17" s="5" t="s">
        <v>30</v>
      </c>
      <c r="B17" s="5" t="s">
        <v>65</v>
      </c>
      <c r="C17" s="5" t="s">
        <v>66</v>
      </c>
      <c r="D17" s="5" t="s">
        <v>40</v>
      </c>
      <c r="E17" s="5" t="s">
        <v>34</v>
      </c>
      <c r="F17" s="5" t="s">
        <v>67</v>
      </c>
      <c r="G17" s="5" t="s">
        <v>68</v>
      </c>
      <c r="H17" s="5" t="s">
        <v>69</v>
      </c>
      <c r="I17" s="5"/>
      <c r="J17" s="5" t="s">
        <v>8</v>
      </c>
      <c r="K17" s="5"/>
      <c r="L17" s="5"/>
      <c r="M17" s="5"/>
      <c r="N17" s="5"/>
      <c r="O17" s="5"/>
    </row>
    <row r="18" spans="1:15" ht="75.099999999999994" customHeight="1" x14ac:dyDescent="0.25">
      <c r="A18" s="5" t="s">
        <v>30</v>
      </c>
      <c r="B18" s="5" t="s">
        <v>70</v>
      </c>
      <c r="C18" s="5" t="s">
        <v>71</v>
      </c>
      <c r="D18" s="5" t="s">
        <v>72</v>
      </c>
      <c r="E18" s="5" t="s">
        <v>34</v>
      </c>
      <c r="F18" s="5" t="s">
        <v>73</v>
      </c>
      <c r="G18" s="5" t="s">
        <v>74</v>
      </c>
      <c r="H18" s="5" t="s">
        <v>75</v>
      </c>
      <c r="I18" s="5"/>
      <c r="J18" s="5" t="s">
        <v>8</v>
      </c>
      <c r="K18" s="5"/>
      <c r="L18" s="5"/>
      <c r="M18" s="5"/>
      <c r="N18" s="22"/>
      <c r="O18" s="5"/>
    </row>
    <row r="19" spans="1:15" ht="75.099999999999994" customHeight="1" x14ac:dyDescent="0.25">
      <c r="A19" s="5" t="s">
        <v>30</v>
      </c>
      <c r="B19" s="5" t="s">
        <v>76</v>
      </c>
      <c r="C19" s="5" t="s">
        <v>77</v>
      </c>
      <c r="D19" s="5" t="s">
        <v>78</v>
      </c>
      <c r="E19" s="5" t="s">
        <v>34</v>
      </c>
      <c r="F19" s="5" t="s">
        <v>79</v>
      </c>
      <c r="G19" s="5" t="s">
        <v>80</v>
      </c>
      <c r="H19" s="5" t="s">
        <v>81</v>
      </c>
      <c r="I19" s="5"/>
      <c r="J19" s="5" t="s">
        <v>8</v>
      </c>
      <c r="K19" s="5"/>
      <c r="L19" s="5"/>
      <c r="M19" s="5"/>
      <c r="N19" s="5"/>
      <c r="O19" s="5"/>
    </row>
    <row r="20" spans="1:15" ht="75.099999999999994" customHeight="1" x14ac:dyDescent="0.25">
      <c r="A20" s="5" t="s">
        <v>30</v>
      </c>
      <c r="B20" s="5" t="s">
        <v>82</v>
      </c>
      <c r="C20" s="5" t="s">
        <v>83</v>
      </c>
      <c r="D20" s="5" t="s">
        <v>84</v>
      </c>
      <c r="E20" s="5" t="s">
        <v>34</v>
      </c>
      <c r="F20" s="5" t="s">
        <v>85</v>
      </c>
      <c r="G20" s="5" t="s">
        <v>86</v>
      </c>
      <c r="H20" s="5" t="s">
        <v>87</v>
      </c>
      <c r="I20" s="5"/>
      <c r="J20" s="5" t="s">
        <v>8</v>
      </c>
      <c r="K20" s="5"/>
      <c r="L20" s="5"/>
      <c r="M20" s="5"/>
      <c r="N20" s="5"/>
      <c r="O20" s="5"/>
    </row>
    <row r="21" spans="1:15" ht="75.099999999999994" customHeight="1" x14ac:dyDescent="0.25">
      <c r="A21" s="5" t="s">
        <v>30</v>
      </c>
      <c r="B21" s="5" t="s">
        <v>88</v>
      </c>
      <c r="C21" s="5" t="s">
        <v>89</v>
      </c>
      <c r="D21" s="5" t="s">
        <v>90</v>
      </c>
      <c r="E21" s="5" t="s">
        <v>34</v>
      </c>
      <c r="F21" s="5" t="s">
        <v>91</v>
      </c>
      <c r="G21" s="5" t="s">
        <v>92</v>
      </c>
      <c r="H21" s="5" t="s">
        <v>93</v>
      </c>
      <c r="I21" s="5"/>
      <c r="J21" s="5" t="s">
        <v>8</v>
      </c>
      <c r="K21" s="5"/>
      <c r="L21" s="5"/>
      <c r="M21" s="5"/>
      <c r="N21" s="5"/>
      <c r="O21" s="5"/>
    </row>
    <row r="22" spans="1:15" ht="75.099999999999994" customHeight="1" x14ac:dyDescent="0.25">
      <c r="A22" s="5" t="s">
        <v>30</v>
      </c>
      <c r="B22" s="5" t="s">
        <v>94</v>
      </c>
      <c r="C22" s="5" t="s">
        <v>95</v>
      </c>
      <c r="D22" s="5" t="s">
        <v>90</v>
      </c>
      <c r="E22" s="5" t="s">
        <v>34</v>
      </c>
      <c r="F22" s="5" t="s">
        <v>96</v>
      </c>
      <c r="G22" s="5" t="s">
        <v>92</v>
      </c>
      <c r="H22" s="5" t="s">
        <v>97</v>
      </c>
      <c r="I22" s="5"/>
      <c r="J22" s="5" t="s">
        <v>8</v>
      </c>
      <c r="K22" s="5"/>
      <c r="L22" s="5"/>
      <c r="M22" s="5"/>
      <c r="N22" s="5"/>
      <c r="O22" s="5"/>
    </row>
    <row r="23" spans="1:15" ht="75.099999999999994" customHeight="1" x14ac:dyDescent="0.25">
      <c r="A23" s="5" t="s">
        <v>30</v>
      </c>
      <c r="B23" s="5" t="s">
        <v>98</v>
      </c>
      <c r="C23" s="5" t="s">
        <v>99</v>
      </c>
      <c r="D23" s="5" t="s">
        <v>40</v>
      </c>
      <c r="E23" s="5" t="s">
        <v>34</v>
      </c>
      <c r="F23" s="5" t="s">
        <v>100</v>
      </c>
      <c r="G23" s="5" t="s">
        <v>101</v>
      </c>
      <c r="H23" s="5" t="s">
        <v>102</v>
      </c>
      <c r="I23" s="5"/>
      <c r="J23" s="5" t="s">
        <v>8</v>
      </c>
      <c r="K23" s="5"/>
      <c r="L23" s="5"/>
      <c r="M23" s="5"/>
      <c r="N23" s="5"/>
      <c r="O23" s="5"/>
    </row>
    <row r="24" spans="1:15" ht="75.099999999999994" customHeight="1" x14ac:dyDescent="0.25">
      <c r="A24" s="5" t="s">
        <v>30</v>
      </c>
      <c r="B24" s="5" t="s">
        <v>103</v>
      </c>
      <c r="C24" s="5" t="s">
        <v>104</v>
      </c>
      <c r="D24" s="5" t="s">
        <v>105</v>
      </c>
      <c r="E24" s="5" t="s">
        <v>34</v>
      </c>
      <c r="F24" s="5" t="s">
        <v>106</v>
      </c>
      <c r="G24" s="5" t="s">
        <v>107</v>
      </c>
      <c r="H24" s="5" t="s">
        <v>108</v>
      </c>
      <c r="I24" s="5"/>
      <c r="J24" s="5" t="s">
        <v>6</v>
      </c>
      <c r="K24" s="5"/>
      <c r="L24" s="5"/>
      <c r="M24" s="5"/>
      <c r="N24" s="5"/>
      <c r="O24" s="5"/>
    </row>
    <row r="25" spans="1:15" ht="75.099999999999994" customHeight="1" x14ac:dyDescent="0.25">
      <c r="A25" s="5" t="s">
        <v>30</v>
      </c>
      <c r="B25" s="5" t="s">
        <v>109</v>
      </c>
      <c r="C25" s="5" t="s">
        <v>110</v>
      </c>
      <c r="D25" s="5" t="s">
        <v>111</v>
      </c>
      <c r="E25" s="5" t="s">
        <v>34</v>
      </c>
      <c r="F25" s="5" t="s">
        <v>112</v>
      </c>
      <c r="G25" s="5" t="s">
        <v>113</v>
      </c>
      <c r="H25" s="5" t="s">
        <v>114</v>
      </c>
      <c r="I25" s="5"/>
      <c r="J25" s="5" t="s">
        <v>8</v>
      </c>
      <c r="K25" s="5"/>
      <c r="L25" s="5"/>
      <c r="M25" s="5"/>
      <c r="N25" s="5"/>
      <c r="O25" s="5"/>
    </row>
    <row r="26" spans="1:15" ht="75.099999999999994" customHeight="1" x14ac:dyDescent="0.25">
      <c r="A26" s="5" t="s">
        <v>30</v>
      </c>
      <c r="B26" s="5" t="s">
        <v>115</v>
      </c>
      <c r="C26" s="5" t="s">
        <v>116</v>
      </c>
      <c r="D26" s="5" t="s">
        <v>117</v>
      </c>
      <c r="E26" s="5" t="s">
        <v>34</v>
      </c>
      <c r="F26" s="5" t="s">
        <v>118</v>
      </c>
      <c r="G26" s="5" t="s">
        <v>119</v>
      </c>
      <c r="H26" s="5" t="s">
        <v>120</v>
      </c>
      <c r="I26" s="5"/>
      <c r="J26" s="5" t="s">
        <v>8</v>
      </c>
      <c r="K26" s="5"/>
      <c r="L26" s="5"/>
      <c r="M26" s="5"/>
      <c r="N26" s="5"/>
      <c r="O26" s="5"/>
    </row>
    <row r="27" spans="1:15" ht="75.099999999999994" customHeight="1" x14ac:dyDescent="0.25">
      <c r="A27" s="5" t="s">
        <v>30</v>
      </c>
      <c r="B27" s="5" t="s">
        <v>121</v>
      </c>
      <c r="C27" s="5" t="s">
        <v>122</v>
      </c>
      <c r="D27" s="5" t="s">
        <v>40</v>
      </c>
      <c r="E27" s="5" t="s">
        <v>34</v>
      </c>
      <c r="F27" s="5" t="s">
        <v>123</v>
      </c>
      <c r="G27" s="5" t="s">
        <v>124</v>
      </c>
      <c r="H27" s="5" t="s">
        <v>125</v>
      </c>
      <c r="I27" s="5"/>
      <c r="J27" s="5" t="s">
        <v>10</v>
      </c>
      <c r="K27" s="5"/>
      <c r="L27" s="5"/>
      <c r="M27" s="5"/>
      <c r="N27" s="5"/>
      <c r="O27" s="5"/>
    </row>
    <row r="28" spans="1:15" s="16" customFormat="1" ht="75.099999999999994" customHeight="1" x14ac:dyDescent="0.25">
      <c r="A28" s="5" t="s">
        <v>30</v>
      </c>
      <c r="B28" s="5" t="s">
        <v>126</v>
      </c>
      <c r="C28" s="5" t="s">
        <v>127</v>
      </c>
      <c r="D28" s="5" t="s">
        <v>128</v>
      </c>
      <c r="E28" s="5" t="s">
        <v>34</v>
      </c>
      <c r="F28" s="5" t="s">
        <v>129</v>
      </c>
      <c r="G28" s="5" t="s">
        <v>130</v>
      </c>
      <c r="H28" s="5" t="s">
        <v>131</v>
      </c>
      <c r="I28" s="5"/>
      <c r="J28" s="5" t="s">
        <v>6</v>
      </c>
      <c r="K28" s="5"/>
      <c r="L28" s="5"/>
      <c r="M28" s="5"/>
      <c r="N28" s="5"/>
      <c r="O28" s="5"/>
    </row>
    <row r="29" spans="1:15" s="16" customFormat="1" ht="75.099999999999994" customHeight="1" x14ac:dyDescent="0.25">
      <c r="A29" s="5" t="s">
        <v>30</v>
      </c>
      <c r="B29" s="5" t="s">
        <v>132</v>
      </c>
      <c r="C29" s="5" t="s">
        <v>133</v>
      </c>
      <c r="D29" s="5" t="s">
        <v>134</v>
      </c>
      <c r="E29" s="5" t="s">
        <v>34</v>
      </c>
      <c r="F29" s="5" t="s">
        <v>135</v>
      </c>
      <c r="G29" s="5" t="s">
        <v>136</v>
      </c>
      <c r="H29" s="5" t="s">
        <v>137</v>
      </c>
      <c r="I29" s="5"/>
      <c r="J29" s="5" t="s">
        <v>6</v>
      </c>
      <c r="K29" s="5"/>
      <c r="L29" s="5"/>
      <c r="M29" s="5"/>
      <c r="N29" s="5"/>
      <c r="O29" s="5"/>
    </row>
    <row r="30" spans="1:15" s="16" customFormat="1" ht="21.9" customHeight="1" x14ac:dyDescent="0.25">
      <c r="A30" s="33" t="s">
        <v>138</v>
      </c>
      <c r="B30" s="35"/>
      <c r="C30" s="35"/>
      <c r="D30" s="35"/>
      <c r="E30" s="35"/>
      <c r="F30" s="35"/>
      <c r="G30" s="35"/>
      <c r="H30" s="35"/>
      <c r="I30" s="35"/>
      <c r="J30" s="35"/>
      <c r="K30" s="35"/>
      <c r="L30" s="35"/>
      <c r="M30" s="35"/>
      <c r="N30" s="35"/>
      <c r="O30" s="35"/>
    </row>
    <row r="31" spans="1:15" s="16" customFormat="1" ht="75.099999999999994" customHeight="1" x14ac:dyDescent="0.25">
      <c r="A31" s="5" t="s">
        <v>30</v>
      </c>
      <c r="B31" s="5" t="s">
        <v>139</v>
      </c>
      <c r="C31" s="5" t="s">
        <v>140</v>
      </c>
      <c r="D31" s="5" t="s">
        <v>40</v>
      </c>
      <c r="E31" s="5" t="s">
        <v>34</v>
      </c>
      <c r="F31" s="5" t="s">
        <v>141</v>
      </c>
      <c r="G31" s="5" t="s">
        <v>142</v>
      </c>
      <c r="H31" s="5" t="s">
        <v>143</v>
      </c>
      <c r="I31" s="5"/>
      <c r="J31" s="5" t="s">
        <v>6</v>
      </c>
      <c r="K31" s="5"/>
      <c r="L31" s="5"/>
      <c r="M31" s="5"/>
      <c r="N31" s="5"/>
      <c r="O31" s="5"/>
    </row>
    <row r="32" spans="1:15" s="16" customFormat="1" ht="75.099999999999994" customHeight="1" x14ac:dyDescent="0.25">
      <c r="A32" s="5" t="s">
        <v>30</v>
      </c>
      <c r="B32" s="5" t="s">
        <v>144</v>
      </c>
      <c r="C32" s="5" t="s">
        <v>145</v>
      </c>
      <c r="D32" s="5" t="s">
        <v>40</v>
      </c>
      <c r="E32" s="5" t="s">
        <v>34</v>
      </c>
      <c r="F32" s="5" t="s">
        <v>146</v>
      </c>
      <c r="G32" s="5" t="s">
        <v>147</v>
      </c>
      <c r="H32" s="5" t="s">
        <v>148</v>
      </c>
      <c r="I32" s="5"/>
      <c r="J32" s="5" t="s">
        <v>6</v>
      </c>
      <c r="K32" s="5"/>
      <c r="L32" s="5"/>
      <c r="M32" s="5"/>
      <c r="N32" s="5"/>
      <c r="O32" s="5"/>
    </row>
    <row r="33" spans="1:15" ht="75.099999999999994" customHeight="1" x14ac:dyDescent="0.25">
      <c r="A33" s="5" t="s">
        <v>30</v>
      </c>
      <c r="B33" s="5" t="s">
        <v>149</v>
      </c>
      <c r="C33" s="5" t="s">
        <v>150</v>
      </c>
      <c r="D33" s="5" t="s">
        <v>151</v>
      </c>
      <c r="E33" s="5" t="s">
        <v>34</v>
      </c>
      <c r="F33" s="5" t="s">
        <v>152</v>
      </c>
      <c r="G33" s="5" t="s">
        <v>153</v>
      </c>
      <c r="H33" s="5" t="s">
        <v>154</v>
      </c>
      <c r="I33" s="5"/>
      <c r="J33" s="5" t="s">
        <v>8</v>
      </c>
      <c r="K33" s="5"/>
      <c r="L33" s="5"/>
      <c r="M33" s="5"/>
      <c r="N33" s="5"/>
      <c r="O33" s="5"/>
    </row>
    <row r="34" spans="1:15" ht="75.099999999999994" customHeight="1" x14ac:dyDescent="0.25">
      <c r="A34" s="5" t="s">
        <v>30</v>
      </c>
      <c r="B34" s="5" t="s">
        <v>155</v>
      </c>
      <c r="C34" s="5" t="s">
        <v>156</v>
      </c>
      <c r="D34" s="5" t="s">
        <v>40</v>
      </c>
      <c r="E34" s="5" t="s">
        <v>34</v>
      </c>
      <c r="F34" s="5" t="s">
        <v>157</v>
      </c>
      <c r="G34" s="5" t="s">
        <v>158</v>
      </c>
      <c r="H34" s="5" t="s">
        <v>159</v>
      </c>
      <c r="I34" s="5"/>
      <c r="J34" s="5" t="s">
        <v>6</v>
      </c>
      <c r="K34" s="5"/>
      <c r="L34" s="5"/>
      <c r="M34" s="5"/>
      <c r="N34" s="5"/>
      <c r="O34" s="5"/>
    </row>
    <row r="35" spans="1:15" ht="75.099999999999994" customHeight="1" x14ac:dyDescent="0.25">
      <c r="A35" s="5" t="s">
        <v>30</v>
      </c>
      <c r="B35" s="5" t="s">
        <v>160</v>
      </c>
      <c r="C35" s="5" t="s">
        <v>161</v>
      </c>
      <c r="D35" s="5" t="s">
        <v>40</v>
      </c>
      <c r="E35" s="5" t="s">
        <v>34</v>
      </c>
      <c r="F35" s="5" t="s">
        <v>162</v>
      </c>
      <c r="G35" s="5" t="s">
        <v>163</v>
      </c>
      <c r="H35" s="5" t="s">
        <v>164</v>
      </c>
      <c r="I35" s="5"/>
      <c r="J35" s="5" t="s">
        <v>6</v>
      </c>
      <c r="K35" s="5"/>
      <c r="L35" s="5"/>
      <c r="M35" s="5"/>
      <c r="N35" s="22"/>
      <c r="O35" s="5"/>
    </row>
    <row r="36" spans="1:15" ht="75.099999999999994" customHeight="1" x14ac:dyDescent="0.25">
      <c r="A36" s="5" t="s">
        <v>30</v>
      </c>
      <c r="B36" s="5" t="s">
        <v>165</v>
      </c>
      <c r="C36" s="5" t="s">
        <v>166</v>
      </c>
      <c r="D36" s="5" t="s">
        <v>151</v>
      </c>
      <c r="E36" s="5" t="s">
        <v>34</v>
      </c>
      <c r="F36" s="5" t="s">
        <v>167</v>
      </c>
      <c r="G36" s="5" t="s">
        <v>168</v>
      </c>
      <c r="H36" s="5" t="s">
        <v>169</v>
      </c>
      <c r="I36" s="5"/>
      <c r="J36" s="5" t="s">
        <v>8</v>
      </c>
      <c r="K36" s="5"/>
      <c r="L36" s="5"/>
      <c r="M36" s="5"/>
      <c r="N36" s="5"/>
      <c r="O36" s="5"/>
    </row>
    <row r="37" spans="1:15" ht="21.9" customHeight="1" x14ac:dyDescent="0.25">
      <c r="A37" s="33" t="s">
        <v>170</v>
      </c>
      <c r="B37" s="34"/>
      <c r="C37" s="34"/>
      <c r="D37" s="34"/>
      <c r="E37" s="34"/>
      <c r="F37" s="34"/>
      <c r="G37" s="34"/>
      <c r="H37" s="34"/>
      <c r="I37" s="34"/>
      <c r="J37" s="34"/>
      <c r="K37" s="34"/>
      <c r="L37" s="34"/>
      <c r="M37" s="34"/>
      <c r="N37" s="34"/>
      <c r="O37" s="34"/>
    </row>
    <row r="38" spans="1:15" ht="75.099999999999994" customHeight="1" x14ac:dyDescent="0.25">
      <c r="A38" s="5" t="s">
        <v>30</v>
      </c>
      <c r="B38" s="5" t="s">
        <v>171</v>
      </c>
      <c r="C38" s="5" t="s">
        <v>172</v>
      </c>
      <c r="D38" s="5" t="s">
        <v>173</v>
      </c>
      <c r="E38" s="5" t="s">
        <v>34</v>
      </c>
      <c r="F38" s="5" t="s">
        <v>174</v>
      </c>
      <c r="G38" s="5" t="s">
        <v>175</v>
      </c>
      <c r="H38" s="5" t="s">
        <v>176</v>
      </c>
      <c r="I38" s="5"/>
      <c r="J38" s="5" t="s">
        <v>6</v>
      </c>
      <c r="K38" s="5"/>
      <c r="L38" s="5"/>
      <c r="M38" s="5"/>
      <c r="N38" s="5"/>
      <c r="O38" s="5"/>
    </row>
    <row r="39" spans="1:15" ht="75.099999999999994" customHeight="1" x14ac:dyDescent="0.25">
      <c r="A39" s="5" t="s">
        <v>30</v>
      </c>
      <c r="B39" s="5" t="s">
        <v>177</v>
      </c>
      <c r="C39" s="5" t="s">
        <v>178</v>
      </c>
      <c r="D39" s="5" t="s">
        <v>179</v>
      </c>
      <c r="E39" s="5" t="s">
        <v>34</v>
      </c>
      <c r="F39" s="5" t="s">
        <v>180</v>
      </c>
      <c r="G39" s="5" t="s">
        <v>181</v>
      </c>
      <c r="H39" s="5" t="s">
        <v>182</v>
      </c>
      <c r="I39" s="5"/>
      <c r="J39" s="5" t="s">
        <v>6</v>
      </c>
      <c r="K39" s="5"/>
      <c r="L39" s="5"/>
      <c r="M39" s="5"/>
      <c r="N39" s="5"/>
      <c r="O39" s="5"/>
    </row>
    <row r="40" spans="1:15" ht="75.099999999999994" customHeight="1" x14ac:dyDescent="0.25">
      <c r="A40" s="5" t="s">
        <v>30</v>
      </c>
      <c r="B40" s="5" t="s">
        <v>183</v>
      </c>
      <c r="C40" s="5" t="s">
        <v>184</v>
      </c>
      <c r="D40" s="5" t="s">
        <v>185</v>
      </c>
      <c r="E40" s="5" t="s">
        <v>34</v>
      </c>
      <c r="F40" s="5" t="s">
        <v>186</v>
      </c>
      <c r="G40" s="5" t="s">
        <v>187</v>
      </c>
      <c r="H40" s="5" t="s">
        <v>188</v>
      </c>
      <c r="I40" s="5"/>
      <c r="J40" s="5" t="s">
        <v>6</v>
      </c>
      <c r="K40" s="5"/>
      <c r="L40" s="5"/>
      <c r="M40" s="5"/>
      <c r="N40" s="5"/>
      <c r="O40" s="5"/>
    </row>
    <row r="41" spans="1:15" ht="75.099999999999994" customHeight="1" x14ac:dyDescent="0.25">
      <c r="A41" s="5" t="s">
        <v>30</v>
      </c>
      <c r="B41" s="5" t="s">
        <v>189</v>
      </c>
      <c r="C41" s="5" t="s">
        <v>190</v>
      </c>
      <c r="D41" s="5" t="s">
        <v>191</v>
      </c>
      <c r="E41" s="5" t="s">
        <v>34</v>
      </c>
      <c r="F41" s="5" t="s">
        <v>192</v>
      </c>
      <c r="G41" s="5" t="s">
        <v>193</v>
      </c>
      <c r="H41" s="5" t="s">
        <v>194</v>
      </c>
      <c r="I41" s="5"/>
      <c r="J41" s="5" t="s">
        <v>6</v>
      </c>
      <c r="K41" s="5"/>
      <c r="L41" s="5"/>
      <c r="M41" s="5"/>
      <c r="N41" s="22"/>
      <c r="O41" s="5"/>
    </row>
    <row r="42" spans="1:15" ht="75.099999999999994" customHeight="1" x14ac:dyDescent="0.25">
      <c r="A42" s="5" t="s">
        <v>30</v>
      </c>
      <c r="B42" s="5" t="s">
        <v>195</v>
      </c>
      <c r="C42" s="5" t="s">
        <v>196</v>
      </c>
      <c r="D42" s="5" t="s">
        <v>197</v>
      </c>
      <c r="E42" s="5" t="s">
        <v>34</v>
      </c>
      <c r="F42" s="5" t="s">
        <v>198</v>
      </c>
      <c r="G42" s="5" t="s">
        <v>199</v>
      </c>
      <c r="H42" s="5" t="s">
        <v>200</v>
      </c>
      <c r="I42" s="5"/>
      <c r="J42" s="5" t="s">
        <v>8</v>
      </c>
      <c r="K42" s="5"/>
      <c r="L42" s="5"/>
      <c r="M42" s="5"/>
      <c r="N42" s="5"/>
      <c r="O42" s="5"/>
    </row>
    <row r="43" spans="1:15" ht="21.9" customHeight="1" x14ac:dyDescent="0.25">
      <c r="A43" s="33" t="s">
        <v>201</v>
      </c>
      <c r="B43" s="34"/>
      <c r="C43" s="34"/>
      <c r="D43" s="34"/>
      <c r="E43" s="34"/>
      <c r="F43" s="34"/>
      <c r="G43" s="34"/>
      <c r="H43" s="34"/>
      <c r="I43" s="34"/>
      <c r="J43" s="34"/>
      <c r="K43" s="34"/>
      <c r="L43" s="34"/>
      <c r="M43" s="34"/>
      <c r="N43" s="34"/>
      <c r="O43" s="34"/>
    </row>
    <row r="44" spans="1:15" ht="75.099999999999994" customHeight="1" x14ac:dyDescent="0.25">
      <c r="A44" s="5" t="s">
        <v>30</v>
      </c>
      <c r="B44" s="5" t="s">
        <v>202</v>
      </c>
      <c r="C44" s="5" t="s">
        <v>203</v>
      </c>
      <c r="D44" s="5" t="s">
        <v>204</v>
      </c>
      <c r="E44" s="5" t="s">
        <v>34</v>
      </c>
      <c r="F44" s="5" t="s">
        <v>205</v>
      </c>
      <c r="G44" s="5" t="s">
        <v>206</v>
      </c>
      <c r="H44" s="5" t="s">
        <v>207</v>
      </c>
      <c r="I44" s="5"/>
      <c r="J44" s="5" t="s">
        <v>6</v>
      </c>
      <c r="K44" s="5"/>
      <c r="L44" s="5"/>
      <c r="M44" s="5"/>
      <c r="N44" s="5"/>
      <c r="O44" s="5"/>
    </row>
    <row r="45" spans="1:15" ht="75.099999999999994" customHeight="1" x14ac:dyDescent="0.25">
      <c r="A45" s="5" t="s">
        <v>30</v>
      </c>
      <c r="B45" s="5" t="s">
        <v>208</v>
      </c>
      <c r="C45" s="5" t="s">
        <v>209</v>
      </c>
      <c r="D45" s="5" t="s">
        <v>210</v>
      </c>
      <c r="E45" s="5" t="s">
        <v>34</v>
      </c>
      <c r="F45" s="5" t="s">
        <v>211</v>
      </c>
      <c r="G45" s="5" t="s">
        <v>212</v>
      </c>
      <c r="H45" s="5" t="s">
        <v>213</v>
      </c>
      <c r="I45" s="5"/>
      <c r="J45" s="5" t="s">
        <v>6</v>
      </c>
      <c r="K45" s="5"/>
      <c r="L45" s="5"/>
      <c r="M45" s="5"/>
      <c r="N45" s="5"/>
      <c r="O45" s="5"/>
    </row>
    <row r="46" spans="1:15" ht="21.9" customHeight="1" x14ac:dyDescent="0.25">
      <c r="A46" s="33" t="s">
        <v>214</v>
      </c>
      <c r="B46" s="34"/>
      <c r="C46" s="34"/>
      <c r="D46" s="34"/>
      <c r="E46" s="34"/>
      <c r="F46" s="34"/>
      <c r="G46" s="34"/>
      <c r="H46" s="34"/>
      <c r="I46" s="34"/>
      <c r="J46" s="34"/>
      <c r="K46" s="34"/>
      <c r="L46" s="34"/>
      <c r="M46" s="34"/>
      <c r="N46" s="34"/>
      <c r="O46" s="34"/>
    </row>
    <row r="47" spans="1:15" ht="75.099999999999994" customHeight="1" x14ac:dyDescent="0.25">
      <c r="A47" s="5" t="s">
        <v>30</v>
      </c>
      <c r="B47" s="5" t="s">
        <v>215</v>
      </c>
      <c r="C47" s="5" t="s">
        <v>216</v>
      </c>
      <c r="D47" s="5" t="s">
        <v>217</v>
      </c>
      <c r="E47" s="5" t="s">
        <v>34</v>
      </c>
      <c r="F47" s="5" t="s">
        <v>218</v>
      </c>
      <c r="G47" s="5" t="s">
        <v>219</v>
      </c>
      <c r="H47" s="5" t="s">
        <v>220</v>
      </c>
      <c r="I47" s="5"/>
      <c r="J47" s="5" t="s">
        <v>6</v>
      </c>
      <c r="K47" s="5"/>
      <c r="L47" s="5"/>
      <c r="M47" s="5"/>
      <c r="N47" s="5"/>
      <c r="O47" s="5"/>
    </row>
    <row r="48" spans="1:15" ht="75.099999999999994" customHeight="1" x14ac:dyDescent="0.25">
      <c r="A48" s="5" t="s">
        <v>30</v>
      </c>
      <c r="B48" s="5" t="s">
        <v>221</v>
      </c>
      <c r="C48" s="5" t="s">
        <v>222</v>
      </c>
      <c r="D48" s="5" t="s">
        <v>223</v>
      </c>
      <c r="E48" s="5" t="s">
        <v>34</v>
      </c>
      <c r="F48" s="5" t="s">
        <v>224</v>
      </c>
      <c r="G48" s="5" t="s">
        <v>225</v>
      </c>
      <c r="H48" s="5" t="s">
        <v>226</v>
      </c>
      <c r="I48" s="5"/>
      <c r="J48" s="5" t="s">
        <v>8</v>
      </c>
      <c r="K48" s="5"/>
      <c r="L48" s="5"/>
      <c r="M48" s="5"/>
      <c r="N48" s="5"/>
      <c r="O48" s="5"/>
    </row>
    <row r="49" spans="1:15" ht="75.099999999999994" customHeight="1" x14ac:dyDescent="0.25">
      <c r="A49" s="5" t="s">
        <v>30</v>
      </c>
      <c r="B49" s="5" t="s">
        <v>227</v>
      </c>
      <c r="C49" s="5" t="s">
        <v>228</v>
      </c>
      <c r="D49" s="5" t="s">
        <v>229</v>
      </c>
      <c r="E49" s="5" t="s">
        <v>34</v>
      </c>
      <c r="F49" s="5" t="s">
        <v>230</v>
      </c>
      <c r="G49" s="5" t="s">
        <v>231</v>
      </c>
      <c r="H49" s="5" t="s">
        <v>232</v>
      </c>
      <c r="I49" s="5"/>
      <c r="J49" s="5" t="s">
        <v>8</v>
      </c>
      <c r="K49" s="5"/>
      <c r="L49" s="5"/>
      <c r="M49" s="5"/>
      <c r="N49" s="5"/>
      <c r="O49" s="5"/>
    </row>
    <row r="50" spans="1:15" ht="21.9" customHeight="1" x14ac:dyDescent="0.25">
      <c r="A50" s="33" t="s">
        <v>233</v>
      </c>
      <c r="B50" s="34"/>
      <c r="C50" s="34"/>
      <c r="D50" s="34"/>
      <c r="E50" s="34"/>
      <c r="F50" s="34"/>
      <c r="G50" s="34"/>
      <c r="H50" s="34"/>
      <c r="I50" s="34"/>
      <c r="J50" s="34"/>
      <c r="K50" s="34"/>
      <c r="L50" s="34"/>
      <c r="M50" s="34"/>
      <c r="N50" s="34"/>
      <c r="O50" s="34"/>
    </row>
    <row r="51" spans="1:15" ht="75.099999999999994" customHeight="1" x14ac:dyDescent="0.25">
      <c r="A51" s="5" t="s">
        <v>30</v>
      </c>
      <c r="B51" s="5" t="s">
        <v>234</v>
      </c>
      <c r="C51" s="5" t="s">
        <v>235</v>
      </c>
      <c r="D51" s="5" t="s">
        <v>40</v>
      </c>
      <c r="E51" s="5" t="s">
        <v>34</v>
      </c>
      <c r="F51" s="5" t="s">
        <v>236</v>
      </c>
      <c r="G51" s="5" t="s">
        <v>237</v>
      </c>
      <c r="H51" s="5" t="s">
        <v>238</v>
      </c>
      <c r="I51" s="5"/>
      <c r="J51" s="5" t="s">
        <v>10</v>
      </c>
      <c r="K51" s="5"/>
      <c r="L51" s="5"/>
      <c r="M51" s="5"/>
      <c r="N51" s="5"/>
      <c r="O51" s="5"/>
    </row>
    <row r="52" spans="1:15" ht="21.9" customHeight="1" x14ac:dyDescent="0.25">
      <c r="A52" s="33" t="s">
        <v>239</v>
      </c>
      <c r="B52" s="34"/>
      <c r="C52" s="34"/>
      <c r="D52" s="34"/>
      <c r="E52" s="34"/>
      <c r="F52" s="34"/>
      <c r="G52" s="34"/>
      <c r="H52" s="34"/>
      <c r="I52" s="34"/>
      <c r="J52" s="34"/>
      <c r="K52" s="34"/>
      <c r="L52" s="34"/>
      <c r="M52" s="34"/>
      <c r="N52" s="34"/>
      <c r="O52" s="34"/>
    </row>
    <row r="53" spans="1:15" ht="75.099999999999994" customHeight="1" x14ac:dyDescent="0.25">
      <c r="A53" s="5" t="s">
        <v>30</v>
      </c>
      <c r="B53" s="5" t="s">
        <v>240</v>
      </c>
      <c r="C53" s="5" t="s">
        <v>241</v>
      </c>
      <c r="D53" s="5" t="s">
        <v>242</v>
      </c>
      <c r="E53" s="5" t="s">
        <v>34</v>
      </c>
      <c r="F53" s="5" t="s">
        <v>243</v>
      </c>
      <c r="G53" s="5" t="s">
        <v>244</v>
      </c>
      <c r="H53" s="5" t="s">
        <v>245</v>
      </c>
      <c r="I53" s="5"/>
      <c r="J53" s="5" t="s">
        <v>8</v>
      </c>
      <c r="K53" s="5"/>
      <c r="L53" s="5"/>
      <c r="M53" s="5"/>
      <c r="N53" s="5"/>
      <c r="O53" s="5"/>
    </row>
    <row r="54" spans="1:15" ht="75.099999999999994" customHeight="1" x14ac:dyDescent="0.25">
      <c r="A54" s="5" t="s">
        <v>30</v>
      </c>
      <c r="B54" s="5" t="s">
        <v>246</v>
      </c>
      <c r="C54" s="5" t="s">
        <v>247</v>
      </c>
      <c r="D54" s="5" t="s">
        <v>248</v>
      </c>
      <c r="E54" s="5" t="s">
        <v>34</v>
      </c>
      <c r="F54" s="5" t="s">
        <v>249</v>
      </c>
      <c r="G54" s="5" t="s">
        <v>250</v>
      </c>
      <c r="H54" s="5" t="s">
        <v>251</v>
      </c>
      <c r="I54" s="5"/>
      <c r="J54" s="5" t="s">
        <v>6</v>
      </c>
      <c r="K54" s="5"/>
      <c r="L54" s="5"/>
      <c r="M54" s="5"/>
      <c r="N54" s="5"/>
      <c r="O54" s="5"/>
    </row>
    <row r="55" spans="1:15" ht="75.099999999999994" customHeight="1" x14ac:dyDescent="0.25">
      <c r="A55" s="5" t="s">
        <v>30</v>
      </c>
      <c r="B55" s="5" t="s">
        <v>252</v>
      </c>
      <c r="C55" s="5" t="s">
        <v>253</v>
      </c>
      <c r="D55" s="5" t="s">
        <v>254</v>
      </c>
      <c r="E55" s="5" t="s">
        <v>34</v>
      </c>
      <c r="F55" s="5" t="s">
        <v>255</v>
      </c>
      <c r="G55" s="5" t="s">
        <v>256</v>
      </c>
      <c r="H55" s="5" t="s">
        <v>257</v>
      </c>
      <c r="I55" s="5"/>
      <c r="J55" s="5" t="s">
        <v>8</v>
      </c>
      <c r="K55" s="5"/>
      <c r="L55" s="5"/>
      <c r="M55" s="5"/>
      <c r="N55" s="5"/>
      <c r="O55" s="5"/>
    </row>
    <row r="56" spans="1:15" ht="75.099999999999994" customHeight="1" x14ac:dyDescent="0.25">
      <c r="A56" s="5" t="s">
        <v>30</v>
      </c>
      <c r="B56" s="5" t="s">
        <v>258</v>
      </c>
      <c r="C56" s="5" t="s">
        <v>259</v>
      </c>
      <c r="D56" s="5" t="s">
        <v>260</v>
      </c>
      <c r="E56" s="5" t="s">
        <v>34</v>
      </c>
      <c r="F56" s="5" t="s">
        <v>261</v>
      </c>
      <c r="G56" s="5" t="s">
        <v>262</v>
      </c>
      <c r="H56" s="5" t="s">
        <v>263</v>
      </c>
      <c r="I56" s="5"/>
      <c r="J56" s="5" t="s">
        <v>6</v>
      </c>
      <c r="K56" s="5"/>
      <c r="L56" s="5"/>
      <c r="M56" s="5"/>
      <c r="N56" s="5"/>
      <c r="O56" s="5"/>
    </row>
    <row r="57" spans="1:15" ht="75.099999999999994" customHeight="1" x14ac:dyDescent="0.25">
      <c r="A57" s="5" t="s">
        <v>30</v>
      </c>
      <c r="B57" s="5" t="s">
        <v>264</v>
      </c>
      <c r="C57" s="5" t="s">
        <v>265</v>
      </c>
      <c r="D57" s="5" t="s">
        <v>266</v>
      </c>
      <c r="E57" s="5" t="s">
        <v>34</v>
      </c>
      <c r="F57" s="5" t="s">
        <v>267</v>
      </c>
      <c r="G57" s="5" t="s">
        <v>268</v>
      </c>
      <c r="H57" s="5" t="s">
        <v>269</v>
      </c>
      <c r="I57" s="5"/>
      <c r="J57" s="5" t="s">
        <v>8</v>
      </c>
      <c r="K57" s="5"/>
      <c r="L57" s="5"/>
      <c r="M57" s="5"/>
      <c r="N57" s="5"/>
      <c r="O57" s="5"/>
    </row>
    <row r="58" spans="1:15" x14ac:dyDescent="0.25">
      <c r="A58" s="23"/>
      <c r="B58" s="23"/>
      <c r="C58" s="23"/>
      <c r="D58" s="23"/>
      <c r="E58" s="23"/>
      <c r="F58" s="23"/>
      <c r="G58" s="23"/>
      <c r="H58" s="23"/>
      <c r="I58" s="23"/>
      <c r="J58" s="23"/>
      <c r="K58" s="23"/>
      <c r="L58" s="23"/>
      <c r="M58" s="23"/>
      <c r="N58" s="23"/>
      <c r="O58" s="23"/>
    </row>
    <row r="59" spans="1:15" x14ac:dyDescent="0.25">
      <c r="A59" s="23"/>
      <c r="B59" s="23"/>
      <c r="C59" s="23"/>
      <c r="D59" s="23"/>
      <c r="E59" s="23"/>
      <c r="F59" s="23"/>
      <c r="G59" s="23"/>
      <c r="H59" s="23"/>
      <c r="I59" s="23"/>
      <c r="J59" s="23"/>
      <c r="K59" s="23"/>
      <c r="L59" s="23"/>
      <c r="M59" s="23"/>
      <c r="N59" s="23"/>
      <c r="O59" s="23"/>
    </row>
    <row r="60" spans="1:15" x14ac:dyDescent="0.25">
      <c r="A60" s="23"/>
      <c r="B60" s="23"/>
      <c r="C60" s="23"/>
      <c r="D60" s="23"/>
      <c r="E60" s="23"/>
      <c r="F60" s="23"/>
      <c r="G60" s="23"/>
      <c r="H60" s="23"/>
      <c r="I60" s="23"/>
      <c r="J60" s="23"/>
      <c r="K60" s="23"/>
      <c r="L60" s="23"/>
      <c r="M60" s="23"/>
      <c r="N60" s="23"/>
      <c r="O60" s="23"/>
    </row>
    <row r="61" spans="1:15" x14ac:dyDescent="0.25">
      <c r="A61" s="23"/>
      <c r="B61" s="23"/>
      <c r="C61" s="23"/>
      <c r="D61" s="23"/>
      <c r="E61" s="23"/>
      <c r="F61" s="23"/>
      <c r="G61" s="23"/>
      <c r="H61" s="23"/>
      <c r="I61" s="23"/>
      <c r="J61" s="23"/>
      <c r="K61" s="23"/>
      <c r="L61" s="23"/>
      <c r="M61" s="23"/>
      <c r="N61" s="23"/>
      <c r="O61" s="23"/>
    </row>
    <row r="62" spans="1:15" x14ac:dyDescent="0.25">
      <c r="A62" s="23"/>
      <c r="B62" s="23"/>
      <c r="C62" s="23"/>
      <c r="D62" s="23"/>
      <c r="E62" s="23"/>
      <c r="F62" s="23"/>
      <c r="G62" s="23"/>
      <c r="H62" s="23"/>
      <c r="I62" s="23"/>
      <c r="J62" s="23"/>
      <c r="K62" s="23"/>
      <c r="L62" s="23"/>
      <c r="M62" s="23"/>
      <c r="N62" s="23"/>
      <c r="O62" s="23"/>
    </row>
    <row r="63" spans="1:15" x14ac:dyDescent="0.25">
      <c r="A63" s="23"/>
      <c r="B63" s="23"/>
      <c r="C63" s="23"/>
      <c r="D63" s="23"/>
      <c r="E63" s="23"/>
      <c r="F63" s="23"/>
      <c r="G63" s="23"/>
      <c r="H63" s="23"/>
      <c r="I63" s="23"/>
      <c r="J63" s="23"/>
      <c r="K63" s="23"/>
      <c r="L63" s="23"/>
      <c r="M63" s="23"/>
      <c r="N63" s="23"/>
      <c r="O63" s="23"/>
    </row>
    <row r="64" spans="1:15" x14ac:dyDescent="0.25">
      <c r="A64" s="23"/>
      <c r="B64" s="23"/>
      <c r="C64" s="23"/>
      <c r="D64" s="23"/>
      <c r="E64" s="23"/>
      <c r="F64" s="23"/>
      <c r="G64" s="23"/>
      <c r="H64" s="23"/>
      <c r="I64" s="23"/>
      <c r="J64" s="23"/>
      <c r="K64" s="23"/>
      <c r="L64" s="23"/>
      <c r="M64" s="23"/>
      <c r="N64" s="23"/>
      <c r="O64" s="23"/>
    </row>
    <row r="65" spans="1:15" x14ac:dyDescent="0.25">
      <c r="A65" s="23"/>
      <c r="B65" s="23"/>
      <c r="C65" s="23"/>
      <c r="D65" s="23"/>
      <c r="E65" s="23"/>
      <c r="F65" s="23"/>
      <c r="G65" s="23"/>
      <c r="H65" s="23"/>
      <c r="I65" s="23"/>
      <c r="J65" s="23"/>
      <c r="K65" s="23"/>
      <c r="L65" s="23"/>
      <c r="M65" s="23"/>
      <c r="N65" s="23"/>
      <c r="O65" s="23"/>
    </row>
    <row r="66" spans="1:15" x14ac:dyDescent="0.25">
      <c r="A66" s="23"/>
      <c r="B66" s="23"/>
      <c r="C66" s="23"/>
      <c r="D66" s="23"/>
      <c r="E66" s="23"/>
      <c r="F66" s="23"/>
      <c r="G66" s="23"/>
      <c r="H66" s="23"/>
      <c r="I66" s="23"/>
      <c r="J66" s="23"/>
      <c r="K66" s="23"/>
      <c r="L66" s="23"/>
      <c r="M66" s="23"/>
      <c r="N66" s="23"/>
      <c r="O66" s="23"/>
    </row>
    <row r="67" spans="1:15" x14ac:dyDescent="0.25">
      <c r="A67" s="23"/>
      <c r="B67" s="23"/>
      <c r="C67" s="23"/>
      <c r="D67" s="23"/>
      <c r="E67" s="23"/>
      <c r="F67" s="23"/>
      <c r="G67" s="23"/>
      <c r="H67" s="23"/>
      <c r="I67" s="23"/>
      <c r="J67" s="23"/>
      <c r="K67" s="23"/>
      <c r="L67" s="23"/>
      <c r="M67" s="23"/>
      <c r="N67" s="23"/>
      <c r="O67" s="23"/>
    </row>
    <row r="68" spans="1:15" x14ac:dyDescent="0.25">
      <c r="A68" s="23"/>
      <c r="B68" s="23"/>
      <c r="C68" s="23"/>
      <c r="D68" s="23"/>
      <c r="E68" s="23"/>
      <c r="F68" s="23"/>
      <c r="G68" s="23"/>
      <c r="H68" s="23"/>
      <c r="I68" s="23"/>
      <c r="J68" s="23"/>
      <c r="K68" s="23"/>
      <c r="L68" s="23"/>
      <c r="M68" s="23"/>
      <c r="N68" s="23"/>
      <c r="O68" s="23"/>
    </row>
    <row r="69" spans="1:15" x14ac:dyDescent="0.25">
      <c r="A69" s="23"/>
      <c r="B69" s="23"/>
      <c r="C69" s="23"/>
      <c r="D69" s="23"/>
      <c r="E69" s="23"/>
      <c r="F69" s="23"/>
      <c r="G69" s="23"/>
      <c r="H69" s="23"/>
      <c r="I69" s="23"/>
      <c r="J69" s="23"/>
      <c r="K69" s="23"/>
      <c r="L69" s="23"/>
      <c r="M69" s="23"/>
      <c r="N69" s="23"/>
      <c r="O69" s="23"/>
    </row>
    <row r="70" spans="1:15" x14ac:dyDescent="0.25">
      <c r="A70" s="23"/>
      <c r="B70" s="23"/>
      <c r="C70" s="23"/>
      <c r="D70" s="23"/>
      <c r="E70" s="23"/>
      <c r="F70" s="23"/>
      <c r="G70" s="23"/>
      <c r="H70" s="23"/>
      <c r="I70" s="23"/>
      <c r="J70" s="23"/>
      <c r="K70" s="23"/>
      <c r="L70" s="23"/>
      <c r="M70" s="23"/>
      <c r="N70" s="23"/>
      <c r="O70" s="23"/>
    </row>
    <row r="71" spans="1:15" x14ac:dyDescent="0.25">
      <c r="A71" s="23"/>
      <c r="B71" s="23"/>
      <c r="C71" s="23"/>
      <c r="D71" s="23"/>
      <c r="E71" s="23"/>
      <c r="F71" s="23"/>
      <c r="G71" s="23"/>
      <c r="H71" s="23"/>
      <c r="I71" s="23"/>
      <c r="J71" s="23"/>
      <c r="K71" s="23"/>
      <c r="L71" s="23"/>
      <c r="M71" s="23"/>
      <c r="N71" s="23"/>
      <c r="O71" s="23"/>
    </row>
    <row r="72" spans="1:15" x14ac:dyDescent="0.25">
      <c r="A72" s="23"/>
      <c r="B72" s="23"/>
      <c r="C72" s="23"/>
      <c r="D72" s="23"/>
      <c r="E72" s="23"/>
      <c r="F72" s="23"/>
      <c r="G72" s="23"/>
      <c r="H72" s="23"/>
      <c r="I72" s="23"/>
      <c r="J72" s="23"/>
      <c r="K72" s="23"/>
      <c r="L72" s="23"/>
      <c r="M72" s="23"/>
      <c r="N72" s="23"/>
      <c r="O72" s="23"/>
    </row>
    <row r="73" spans="1:15" x14ac:dyDescent="0.25">
      <c r="A73" s="23"/>
      <c r="B73" s="23"/>
      <c r="C73" s="23"/>
      <c r="D73" s="23"/>
      <c r="E73" s="23"/>
      <c r="F73" s="23"/>
      <c r="G73" s="23"/>
      <c r="H73" s="23"/>
      <c r="I73" s="23"/>
      <c r="J73" s="23"/>
      <c r="K73" s="23"/>
      <c r="L73" s="23"/>
      <c r="M73" s="23"/>
      <c r="N73" s="23"/>
      <c r="O73" s="23"/>
    </row>
    <row r="74" spans="1:15" x14ac:dyDescent="0.25">
      <c r="A74" s="23"/>
      <c r="B74" s="23"/>
      <c r="C74" s="23"/>
      <c r="D74" s="23"/>
      <c r="E74" s="23"/>
      <c r="F74" s="23"/>
      <c r="G74" s="23"/>
      <c r="H74" s="23"/>
      <c r="I74" s="23"/>
      <c r="J74" s="23"/>
      <c r="K74" s="23"/>
      <c r="L74" s="23"/>
      <c r="M74" s="23"/>
      <c r="N74" s="23"/>
      <c r="O74" s="23"/>
    </row>
    <row r="75" spans="1:15" x14ac:dyDescent="0.25">
      <c r="A75" s="23"/>
      <c r="B75" s="23"/>
      <c r="C75" s="23"/>
      <c r="D75" s="23"/>
      <c r="E75" s="23"/>
      <c r="F75" s="23"/>
      <c r="G75" s="23"/>
      <c r="H75" s="23"/>
      <c r="I75" s="23"/>
      <c r="J75" s="23"/>
      <c r="K75" s="23"/>
      <c r="L75" s="23"/>
      <c r="M75" s="23"/>
      <c r="N75" s="23"/>
      <c r="O75" s="23"/>
    </row>
    <row r="76" spans="1:15" x14ac:dyDescent="0.25">
      <c r="A76" s="23"/>
      <c r="B76" s="23"/>
      <c r="C76" s="23"/>
      <c r="D76" s="23"/>
      <c r="E76" s="23"/>
      <c r="F76" s="23"/>
      <c r="G76" s="23"/>
      <c r="H76" s="23"/>
      <c r="I76" s="23"/>
      <c r="J76" s="23"/>
      <c r="K76" s="23"/>
      <c r="L76" s="23"/>
      <c r="M76" s="23"/>
      <c r="N76" s="23"/>
      <c r="O76" s="23"/>
    </row>
    <row r="77" spans="1:15" x14ac:dyDescent="0.25">
      <c r="A77" s="23"/>
      <c r="B77" s="23"/>
      <c r="C77" s="23"/>
      <c r="D77" s="23"/>
      <c r="E77" s="23"/>
      <c r="F77" s="23"/>
      <c r="G77" s="23"/>
      <c r="H77" s="23"/>
      <c r="I77" s="23"/>
      <c r="J77" s="23"/>
      <c r="K77" s="23"/>
      <c r="L77" s="23"/>
      <c r="M77" s="23"/>
      <c r="N77" s="23"/>
      <c r="O77" s="23"/>
    </row>
  </sheetData>
  <mergeCells count="7">
    <mergeCell ref="A43:O43"/>
    <mergeCell ref="A52:O52"/>
    <mergeCell ref="A10:O10"/>
    <mergeCell ref="A37:O37"/>
    <mergeCell ref="A46:O46"/>
    <mergeCell ref="A50:O50"/>
    <mergeCell ref="A30:O30"/>
  </mergeCells>
  <conditionalFormatting sqref="L11:L29 L31:L36 L38:L42 L44:L45 L47:L49 L51 L53:L57">
    <cfRule type="containsText" dxfId="7" priority="13" operator="containsText" text="Passed">
      <formula>NOT(ISERROR(SEARCH("Passed",L11)))</formula>
    </cfRule>
    <cfRule type="containsText" dxfId="6" priority="14" operator="containsText" text="Failed">
      <formula>NOT(ISERROR(SEARCH("Failed",L11)))</formula>
    </cfRule>
    <cfRule type="containsText" dxfId="5" priority="15" operator="containsText" text="Pending">
      <formula>NOT(ISERROR(SEARCH("Pending",L11)))</formula>
    </cfRule>
    <cfRule type="containsText" dxfId="4" priority="16" operator="containsText" text="Blocked">
      <formula>NOT(ISERROR(SEARCH("Blocked",L11)))</formula>
    </cfRule>
  </conditionalFormatting>
  <dataValidations count="1">
    <dataValidation type="list" allowBlank="1" sqref="L11 L12 L13 L14 L15 L16 L17 L18 L19 L20 L21 L22 L23 L24 L25 L26 L27 L28 L29 L31 L32 L33 L34 L35 L36 L38 L39 L40 L41 L42 L44 L45 L47 L48 L49 L51 L53 L54 L55 L56 L57" xr:uid="{00000000-0002-0000-0300-000000000000}">
      <formula1>"Passed,Failed,Pending,Blocked,Not test"</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77"/>
  <sheetViews>
    <sheetView tabSelected="1" workbookViewId="0">
      <pane ySplit="9" topLeftCell="A43" activePane="bottomLeft" state="frozen"/>
      <selection pane="bottomLeft" activeCell="H44" sqref="H44"/>
    </sheetView>
  </sheetViews>
  <sheetFormatPr defaultRowHeight="14.3" x14ac:dyDescent="0.25"/>
  <cols>
    <col min="1" max="1" width="11" customWidth="1"/>
    <col min="2" max="2" width="12.375" customWidth="1"/>
    <col min="3" max="3" width="52.5" customWidth="1"/>
    <col min="4" max="4" width="28.75" customWidth="1"/>
    <col min="5" max="5" width="13.25" customWidth="1"/>
    <col min="6" max="6" width="39.375" customWidth="1"/>
    <col min="7" max="7" width="31" customWidth="1"/>
    <col min="8" max="8" width="60" customWidth="1"/>
    <col min="9" max="9" width="30" customWidth="1"/>
    <col min="10" max="10" width="10" customWidth="1"/>
    <col min="11" max="13" width="12" customWidth="1"/>
    <col min="14" max="14" width="10" customWidth="1"/>
    <col min="15" max="15" width="12" customWidth="1"/>
  </cols>
  <sheetData>
    <row r="1" spans="1:15" x14ac:dyDescent="0.25">
      <c r="A1" s="1" t="s">
        <v>0</v>
      </c>
      <c r="B1" s="1" t="s">
        <v>1</v>
      </c>
      <c r="E1" s="6" t="s">
        <v>2</v>
      </c>
      <c r="F1" s="7">
        <f>SUM(F2:F4)</f>
        <v>42</v>
      </c>
      <c r="G1" s="8">
        <f>F1/$F$1</f>
        <v>1</v>
      </c>
      <c r="I1" s="1" t="s">
        <v>3</v>
      </c>
      <c r="J1" s="1"/>
    </row>
    <row r="2" spans="1:15" x14ac:dyDescent="0.25">
      <c r="A2" s="1" t="s">
        <v>4</v>
      </c>
      <c r="B2" t="s">
        <v>5</v>
      </c>
      <c r="E2" s="9" t="s">
        <v>6</v>
      </c>
      <c r="F2" s="10">
        <f>COUNTIF($J$5:$J$970,E2)</f>
        <v>15</v>
      </c>
      <c r="G2" s="11">
        <f>F2/$F$1</f>
        <v>0.35714285714285715</v>
      </c>
      <c r="I2" s="12" t="s">
        <v>7</v>
      </c>
      <c r="J2" s="13">
        <f>COUNTIF($L:$L,I2)</f>
        <v>0</v>
      </c>
    </row>
    <row r="3" spans="1:15" x14ac:dyDescent="0.25">
      <c r="E3" s="9" t="s">
        <v>8</v>
      </c>
      <c r="F3" s="10">
        <f>COUNTIF($J$5:$J$970,E3)</f>
        <v>20</v>
      </c>
      <c r="G3" s="11">
        <f>F3/$F$1</f>
        <v>0.47619047619047616</v>
      </c>
      <c r="I3" s="12" t="s">
        <v>9</v>
      </c>
      <c r="J3" s="13">
        <f>COUNTIF($L:$L,I3)</f>
        <v>0</v>
      </c>
    </row>
    <row r="4" spans="1:15" x14ac:dyDescent="0.25">
      <c r="E4" s="9" t="s">
        <v>10</v>
      </c>
      <c r="F4" s="10">
        <f>COUNTIF($J$5:$J$970,E4)</f>
        <v>7</v>
      </c>
      <c r="G4" s="11">
        <f>F4/$F$1</f>
        <v>0.16666666666666666</v>
      </c>
      <c r="I4" s="12" t="s">
        <v>11</v>
      </c>
      <c r="J4" s="13">
        <f>COUNTIF($L:$L,I4)</f>
        <v>0</v>
      </c>
    </row>
    <row r="5" spans="1:15" x14ac:dyDescent="0.25">
      <c r="I5" s="12" t="s">
        <v>12</v>
      </c>
      <c r="J5" s="13">
        <f>COUNTIF($L:$L,I5)</f>
        <v>0</v>
      </c>
    </row>
    <row r="6" spans="1:15" x14ac:dyDescent="0.25">
      <c r="I6" s="14" t="s">
        <v>13</v>
      </c>
      <c r="J6" s="13">
        <f>COUNTIF($L:$L,I6)</f>
        <v>0</v>
      </c>
    </row>
    <row r="7" spans="1:15" ht="0.7" customHeight="1" x14ac:dyDescent="0.25">
      <c r="I7" s="12" t="s">
        <v>2</v>
      </c>
      <c r="J7" s="15">
        <f>SUM(J2:J6)</f>
        <v>0</v>
      </c>
    </row>
    <row r="8" spans="1:15" x14ac:dyDescent="0.25">
      <c r="I8" s="17"/>
      <c r="J8" s="18"/>
    </row>
    <row r="9" spans="1:15" ht="30.1" customHeight="1" x14ac:dyDescent="0.25">
      <c r="A9" s="4" t="s">
        <v>14</v>
      </c>
      <c r="B9" s="4" t="s">
        <v>15</v>
      </c>
      <c r="C9" s="4" t="s">
        <v>16</v>
      </c>
      <c r="D9" s="4" t="s">
        <v>17</v>
      </c>
      <c r="E9" s="4" t="s">
        <v>18</v>
      </c>
      <c r="F9" s="4" t="s">
        <v>19</v>
      </c>
      <c r="G9" s="4" t="s">
        <v>20</v>
      </c>
      <c r="H9" s="4" t="s">
        <v>21</v>
      </c>
      <c r="I9" s="4" t="s">
        <v>22</v>
      </c>
      <c r="J9" s="4" t="s">
        <v>23</v>
      </c>
      <c r="K9" s="4" t="s">
        <v>24</v>
      </c>
      <c r="L9" s="4" t="s">
        <v>25</v>
      </c>
      <c r="M9" s="4" t="s">
        <v>26</v>
      </c>
      <c r="N9" s="4" t="s">
        <v>27</v>
      </c>
      <c r="O9" s="4" t="s">
        <v>28</v>
      </c>
    </row>
    <row r="10" spans="1:15" ht="21.9" customHeight="1" x14ac:dyDescent="0.25">
      <c r="A10" s="24" t="s">
        <v>412</v>
      </c>
      <c r="B10" s="25"/>
      <c r="C10" s="25"/>
      <c r="D10" s="25"/>
      <c r="E10" s="25"/>
      <c r="F10" s="25"/>
      <c r="G10" s="25"/>
      <c r="H10" s="25"/>
      <c r="I10" s="25"/>
      <c r="J10" s="25"/>
      <c r="K10" s="25"/>
      <c r="L10" s="25"/>
      <c r="M10" s="25"/>
      <c r="N10" s="25"/>
      <c r="O10" s="25"/>
    </row>
    <row r="11" spans="1:15" ht="75.099999999999994" customHeight="1" x14ac:dyDescent="0.25">
      <c r="A11" s="5" t="s">
        <v>367</v>
      </c>
      <c r="B11" s="5" t="s">
        <v>31</v>
      </c>
      <c r="C11" s="5" t="s">
        <v>413</v>
      </c>
      <c r="D11" s="5" t="s">
        <v>414</v>
      </c>
      <c r="E11" s="5" t="s">
        <v>34</v>
      </c>
      <c r="F11" s="5" t="s">
        <v>415</v>
      </c>
      <c r="G11" s="5" t="s">
        <v>416</v>
      </c>
      <c r="H11" s="5" t="s">
        <v>417</v>
      </c>
      <c r="I11" s="5"/>
      <c r="J11" s="5" t="s">
        <v>6</v>
      </c>
      <c r="K11" s="5"/>
      <c r="L11" s="5"/>
      <c r="M11" s="5"/>
      <c r="N11" s="5"/>
      <c r="O11" s="5"/>
    </row>
    <row r="12" spans="1:15" ht="75.099999999999994" customHeight="1" x14ac:dyDescent="0.25">
      <c r="A12" s="5" t="s">
        <v>367</v>
      </c>
      <c r="B12" s="5" t="s">
        <v>38</v>
      </c>
      <c r="C12" s="5" t="s">
        <v>418</v>
      </c>
      <c r="D12" s="5" t="s">
        <v>419</v>
      </c>
      <c r="E12" s="5" t="s">
        <v>34</v>
      </c>
      <c r="F12" s="5" t="s">
        <v>420</v>
      </c>
      <c r="G12" s="5" t="s">
        <v>421</v>
      </c>
      <c r="H12" s="5" t="s">
        <v>422</v>
      </c>
      <c r="I12" s="5"/>
      <c r="J12" s="5" t="s">
        <v>6</v>
      </c>
      <c r="K12" s="5"/>
      <c r="L12" s="5"/>
      <c r="M12" s="5"/>
      <c r="N12" s="5"/>
      <c r="O12" s="5"/>
    </row>
    <row r="13" spans="1:15" ht="75.099999999999994" customHeight="1" x14ac:dyDescent="0.25">
      <c r="A13" s="5" t="s">
        <v>367</v>
      </c>
      <c r="B13" s="5" t="s">
        <v>44</v>
      </c>
      <c r="C13" s="5" t="s">
        <v>423</v>
      </c>
      <c r="D13" s="5" t="s">
        <v>424</v>
      </c>
      <c r="E13" s="5" t="s">
        <v>34</v>
      </c>
      <c r="F13" s="5" t="s">
        <v>425</v>
      </c>
      <c r="G13" s="5" t="s">
        <v>426</v>
      </c>
      <c r="H13" s="5" t="s">
        <v>427</v>
      </c>
      <c r="I13" s="5"/>
      <c r="J13" s="5" t="s">
        <v>6</v>
      </c>
      <c r="K13" s="5"/>
      <c r="L13" s="5"/>
      <c r="M13" s="5"/>
      <c r="N13" s="5"/>
      <c r="O13" s="5"/>
    </row>
    <row r="14" spans="1:15" ht="75.099999999999994" customHeight="1" x14ac:dyDescent="0.25">
      <c r="A14" s="5" t="s">
        <v>367</v>
      </c>
      <c r="B14" s="5" t="s">
        <v>49</v>
      </c>
      <c r="C14" s="5" t="s">
        <v>428</v>
      </c>
      <c r="D14" s="5" t="s">
        <v>429</v>
      </c>
      <c r="E14" s="5" t="s">
        <v>34</v>
      </c>
      <c r="F14" s="5" t="s">
        <v>430</v>
      </c>
      <c r="G14" s="5" t="s">
        <v>431</v>
      </c>
      <c r="H14" s="5" t="s">
        <v>432</v>
      </c>
      <c r="I14" s="5"/>
      <c r="J14" s="5" t="s">
        <v>6</v>
      </c>
      <c r="K14" s="5"/>
      <c r="L14" s="5"/>
      <c r="M14" s="5"/>
      <c r="N14" s="5"/>
      <c r="O14" s="5"/>
    </row>
    <row r="15" spans="1:15" ht="75.099999999999994" customHeight="1" x14ac:dyDescent="0.25">
      <c r="A15" s="5" t="s">
        <v>367</v>
      </c>
      <c r="B15" s="5" t="s">
        <v>54</v>
      </c>
      <c r="C15" s="5" t="s">
        <v>433</v>
      </c>
      <c r="D15" s="5" t="s">
        <v>434</v>
      </c>
      <c r="E15" s="5" t="s">
        <v>34</v>
      </c>
      <c r="F15" s="5" t="s">
        <v>435</v>
      </c>
      <c r="G15" s="5" t="s">
        <v>436</v>
      </c>
      <c r="H15" s="5" t="s">
        <v>437</v>
      </c>
      <c r="I15" s="5"/>
      <c r="J15" s="5" t="s">
        <v>6</v>
      </c>
      <c r="K15" s="5"/>
      <c r="L15" s="5"/>
      <c r="M15" s="5"/>
      <c r="N15" s="22"/>
      <c r="O15" s="5"/>
    </row>
    <row r="16" spans="1:15" ht="75.099999999999994" customHeight="1" x14ac:dyDescent="0.25">
      <c r="A16" s="5" t="s">
        <v>367</v>
      </c>
      <c r="B16" s="5" t="s">
        <v>59</v>
      </c>
      <c r="C16" s="5" t="s">
        <v>438</v>
      </c>
      <c r="D16" s="5" t="s">
        <v>439</v>
      </c>
      <c r="E16" s="5" t="s">
        <v>34</v>
      </c>
      <c r="F16" s="5" t="s">
        <v>440</v>
      </c>
      <c r="G16" s="5" t="s">
        <v>441</v>
      </c>
      <c r="H16" s="5" t="s">
        <v>442</v>
      </c>
      <c r="I16" s="5"/>
      <c r="J16" s="5" t="s">
        <v>8</v>
      </c>
      <c r="K16" s="5"/>
      <c r="L16" s="5"/>
      <c r="M16" s="5"/>
      <c r="N16" s="5"/>
      <c r="O16" s="5"/>
    </row>
    <row r="17" spans="1:15" ht="75.099999999999994" customHeight="1" x14ac:dyDescent="0.25">
      <c r="A17" s="5" t="s">
        <v>367</v>
      </c>
      <c r="B17" s="5" t="s">
        <v>65</v>
      </c>
      <c r="C17" s="5" t="s">
        <v>443</v>
      </c>
      <c r="D17" s="5" t="s">
        <v>444</v>
      </c>
      <c r="E17" s="5" t="s">
        <v>34</v>
      </c>
      <c r="F17" s="5" t="s">
        <v>445</v>
      </c>
      <c r="G17" s="5" t="s">
        <v>446</v>
      </c>
      <c r="H17" s="5" t="s">
        <v>447</v>
      </c>
      <c r="I17" s="5"/>
      <c r="J17" s="5" t="s">
        <v>6</v>
      </c>
      <c r="K17" s="5"/>
      <c r="L17" s="5"/>
      <c r="M17" s="5"/>
      <c r="N17" s="5"/>
      <c r="O17" s="5"/>
    </row>
    <row r="18" spans="1:15" ht="21.9" customHeight="1" x14ac:dyDescent="0.25">
      <c r="A18" s="24" t="s">
        <v>448</v>
      </c>
      <c r="B18" s="25"/>
      <c r="C18" s="25"/>
      <c r="D18" s="25"/>
      <c r="E18" s="25"/>
      <c r="F18" s="25"/>
      <c r="G18" s="25"/>
      <c r="H18" s="25"/>
      <c r="I18" s="25"/>
      <c r="J18" s="25"/>
      <c r="K18" s="25"/>
      <c r="L18" s="25"/>
      <c r="M18" s="25"/>
      <c r="N18" s="25"/>
      <c r="O18" s="25"/>
    </row>
    <row r="19" spans="1:15" ht="75.099999999999994" customHeight="1" x14ac:dyDescent="0.25">
      <c r="A19" s="5" t="s">
        <v>367</v>
      </c>
      <c r="B19" s="5" t="s">
        <v>70</v>
      </c>
      <c r="C19" s="5" t="s">
        <v>449</v>
      </c>
      <c r="D19" s="5" t="s">
        <v>450</v>
      </c>
      <c r="E19" s="5" t="s">
        <v>34</v>
      </c>
      <c r="F19" s="5" t="s">
        <v>451</v>
      </c>
      <c r="G19" s="5" t="s">
        <v>452</v>
      </c>
      <c r="H19" s="5" t="s">
        <v>453</v>
      </c>
      <c r="I19" s="5"/>
      <c r="J19" s="5" t="s">
        <v>6</v>
      </c>
      <c r="K19" s="5"/>
      <c r="L19" s="5"/>
      <c r="M19" s="5"/>
      <c r="N19" s="5"/>
      <c r="O19" s="5"/>
    </row>
    <row r="20" spans="1:15" ht="75.099999999999994" customHeight="1" x14ac:dyDescent="0.25">
      <c r="A20" s="5" t="s">
        <v>367</v>
      </c>
      <c r="B20" s="5" t="s">
        <v>76</v>
      </c>
      <c r="C20" s="5" t="s">
        <v>454</v>
      </c>
      <c r="D20" s="5" t="s">
        <v>455</v>
      </c>
      <c r="E20" s="5" t="s">
        <v>34</v>
      </c>
      <c r="F20" s="5" t="s">
        <v>456</v>
      </c>
      <c r="G20" s="5" t="s">
        <v>457</v>
      </c>
      <c r="H20" s="5" t="s">
        <v>458</v>
      </c>
      <c r="I20" s="5"/>
      <c r="J20" s="5" t="s">
        <v>6</v>
      </c>
      <c r="K20" s="5"/>
      <c r="L20" s="5"/>
      <c r="M20" s="5"/>
      <c r="N20" s="5"/>
      <c r="O20" s="5"/>
    </row>
    <row r="21" spans="1:15" ht="75.099999999999994" customHeight="1" x14ac:dyDescent="0.25">
      <c r="A21" s="5" t="s">
        <v>367</v>
      </c>
      <c r="B21" s="5" t="s">
        <v>82</v>
      </c>
      <c r="C21" s="5" t="s">
        <v>459</v>
      </c>
      <c r="D21" s="5" t="s">
        <v>460</v>
      </c>
      <c r="E21" s="5" t="s">
        <v>34</v>
      </c>
      <c r="F21" s="5" t="s">
        <v>461</v>
      </c>
      <c r="G21" s="5" t="s">
        <v>462</v>
      </c>
      <c r="H21" s="5" t="s">
        <v>463</v>
      </c>
      <c r="I21" s="5"/>
      <c r="J21" s="5" t="s">
        <v>8</v>
      </c>
      <c r="K21" s="5"/>
      <c r="L21" s="5"/>
      <c r="M21" s="5"/>
      <c r="N21" s="5"/>
      <c r="O21" s="5"/>
    </row>
    <row r="22" spans="1:15" ht="75.099999999999994" customHeight="1" x14ac:dyDescent="0.25">
      <c r="A22" s="5" t="s">
        <v>367</v>
      </c>
      <c r="B22" s="5" t="s">
        <v>139</v>
      </c>
      <c r="C22" s="5" t="s">
        <v>464</v>
      </c>
      <c r="D22" s="5" t="s">
        <v>465</v>
      </c>
      <c r="E22" s="5" t="s">
        <v>34</v>
      </c>
      <c r="F22" s="5" t="s">
        <v>466</v>
      </c>
      <c r="G22" s="5" t="s">
        <v>467</v>
      </c>
      <c r="H22" s="5" t="s">
        <v>468</v>
      </c>
      <c r="I22" s="5"/>
      <c r="J22" s="5" t="s">
        <v>8</v>
      </c>
      <c r="K22" s="5"/>
      <c r="L22" s="5"/>
      <c r="M22" s="5"/>
      <c r="N22" s="5"/>
      <c r="O22" s="5"/>
    </row>
    <row r="23" spans="1:15" ht="75.099999999999994" customHeight="1" x14ac:dyDescent="0.25">
      <c r="A23" s="5" t="s">
        <v>367</v>
      </c>
      <c r="B23" s="5" t="s">
        <v>144</v>
      </c>
      <c r="C23" s="5" t="s">
        <v>469</v>
      </c>
      <c r="D23" s="5" t="s">
        <v>470</v>
      </c>
      <c r="E23" s="5" t="s">
        <v>34</v>
      </c>
      <c r="F23" s="5" t="s">
        <v>471</v>
      </c>
      <c r="G23" s="5" t="s">
        <v>472</v>
      </c>
      <c r="H23" s="5" t="s">
        <v>473</v>
      </c>
      <c r="I23" s="5"/>
      <c r="J23" s="5" t="s">
        <v>6</v>
      </c>
      <c r="K23" s="5"/>
      <c r="L23" s="5"/>
      <c r="M23" s="5"/>
      <c r="N23" s="5"/>
      <c r="O23" s="5"/>
    </row>
    <row r="24" spans="1:15" ht="75.099999999999994" customHeight="1" x14ac:dyDescent="0.25">
      <c r="A24" s="5" t="s">
        <v>388</v>
      </c>
      <c r="B24" s="5" t="s">
        <v>149</v>
      </c>
      <c r="C24" s="5" t="s">
        <v>474</v>
      </c>
      <c r="D24" s="5" t="s">
        <v>475</v>
      </c>
      <c r="E24" s="5" t="s">
        <v>34</v>
      </c>
      <c r="F24" s="5" t="s">
        <v>476</v>
      </c>
      <c r="G24" s="5" t="s">
        <v>477</v>
      </c>
      <c r="H24" s="5" t="s">
        <v>478</v>
      </c>
      <c r="I24" s="5"/>
      <c r="J24" s="5" t="s">
        <v>6</v>
      </c>
      <c r="K24" s="5"/>
      <c r="L24" s="5"/>
      <c r="M24" s="5"/>
      <c r="N24" s="5"/>
      <c r="O24" s="5"/>
    </row>
    <row r="25" spans="1:15" ht="75.099999999999994" customHeight="1" x14ac:dyDescent="0.25">
      <c r="A25" s="5" t="s">
        <v>367</v>
      </c>
      <c r="B25" s="5" t="s">
        <v>155</v>
      </c>
      <c r="C25" s="5" t="s">
        <v>479</v>
      </c>
      <c r="D25" s="5" t="s">
        <v>480</v>
      </c>
      <c r="E25" s="5" t="s">
        <v>34</v>
      </c>
      <c r="F25" s="5" t="s">
        <v>481</v>
      </c>
      <c r="G25" s="5" t="s">
        <v>482</v>
      </c>
      <c r="H25" s="5" t="s">
        <v>483</v>
      </c>
      <c r="I25" s="5"/>
      <c r="J25" s="5" t="s">
        <v>8</v>
      </c>
      <c r="K25" s="5"/>
      <c r="L25" s="5"/>
      <c r="M25" s="5"/>
      <c r="N25" s="5"/>
      <c r="O25" s="5"/>
    </row>
    <row r="26" spans="1:15" ht="75.099999999999994" customHeight="1" x14ac:dyDescent="0.25">
      <c r="A26" s="5" t="s">
        <v>367</v>
      </c>
      <c r="B26" s="5" t="s">
        <v>160</v>
      </c>
      <c r="C26" s="5" t="s">
        <v>484</v>
      </c>
      <c r="D26" s="5" t="s">
        <v>485</v>
      </c>
      <c r="E26" s="5" t="s">
        <v>34</v>
      </c>
      <c r="F26" s="5" t="s">
        <v>486</v>
      </c>
      <c r="G26" s="5" t="s">
        <v>487</v>
      </c>
      <c r="H26" s="5" t="s">
        <v>488</v>
      </c>
      <c r="I26" s="5"/>
      <c r="J26" s="5" t="s">
        <v>8</v>
      </c>
      <c r="K26" s="5"/>
      <c r="L26" s="5"/>
      <c r="M26" s="5"/>
      <c r="N26" s="5"/>
      <c r="O26" s="5"/>
    </row>
    <row r="27" spans="1:15" ht="21.9" customHeight="1" x14ac:dyDescent="0.25">
      <c r="A27" s="24" t="s">
        <v>489</v>
      </c>
      <c r="B27" s="25"/>
      <c r="C27" s="25"/>
      <c r="D27" s="25"/>
      <c r="E27" s="25"/>
      <c r="F27" s="25"/>
      <c r="G27" s="25"/>
      <c r="H27" s="25"/>
      <c r="I27" s="25"/>
      <c r="J27" s="25"/>
      <c r="K27" s="25"/>
      <c r="L27" s="25"/>
      <c r="M27" s="25"/>
      <c r="N27" s="25"/>
      <c r="O27" s="25"/>
    </row>
    <row r="28" spans="1:15" s="16" customFormat="1" ht="75.099999999999994" customHeight="1" x14ac:dyDescent="0.25">
      <c r="A28" s="5" t="s">
        <v>367</v>
      </c>
      <c r="B28" s="5" t="s">
        <v>165</v>
      </c>
      <c r="C28" s="5" t="s">
        <v>490</v>
      </c>
      <c r="D28" s="5" t="s">
        <v>491</v>
      </c>
      <c r="E28" s="5" t="s">
        <v>34</v>
      </c>
      <c r="F28" s="5" t="s">
        <v>492</v>
      </c>
      <c r="G28" s="5" t="s">
        <v>493</v>
      </c>
      <c r="H28" s="5" t="s">
        <v>494</v>
      </c>
      <c r="I28" s="5"/>
      <c r="J28" s="5" t="s">
        <v>8</v>
      </c>
      <c r="K28" s="5"/>
      <c r="L28" s="5"/>
      <c r="M28" s="5"/>
      <c r="N28" s="5"/>
      <c r="O28" s="5"/>
    </row>
    <row r="29" spans="1:15" s="16" customFormat="1" ht="75.099999999999994" customHeight="1" x14ac:dyDescent="0.25">
      <c r="A29" s="5" t="s">
        <v>367</v>
      </c>
      <c r="B29" s="5" t="s">
        <v>171</v>
      </c>
      <c r="C29" s="5" t="s">
        <v>495</v>
      </c>
      <c r="D29" s="5" t="s">
        <v>491</v>
      </c>
      <c r="E29" s="5" t="s">
        <v>34</v>
      </c>
      <c r="F29" s="5" t="s">
        <v>496</v>
      </c>
      <c r="G29" s="5" t="s">
        <v>497</v>
      </c>
      <c r="H29" s="5" t="s">
        <v>498</v>
      </c>
      <c r="I29" s="5"/>
      <c r="J29" s="5" t="s">
        <v>8</v>
      </c>
      <c r="K29" s="5"/>
      <c r="L29" s="5"/>
      <c r="M29" s="5"/>
      <c r="N29" s="5"/>
      <c r="O29" s="5"/>
    </row>
    <row r="30" spans="1:15" s="16" customFormat="1" ht="75.099999999999994" customHeight="1" x14ac:dyDescent="0.25">
      <c r="A30" s="5" t="s">
        <v>367</v>
      </c>
      <c r="B30" s="5" t="s">
        <v>177</v>
      </c>
      <c r="C30" s="5" t="s">
        <v>499</v>
      </c>
      <c r="D30" s="5" t="s">
        <v>500</v>
      </c>
      <c r="E30" s="5" t="s">
        <v>34</v>
      </c>
      <c r="F30" s="5" t="s">
        <v>501</v>
      </c>
      <c r="G30" s="5" t="s">
        <v>502</v>
      </c>
      <c r="H30" s="5" t="s">
        <v>503</v>
      </c>
      <c r="I30" s="5"/>
      <c r="J30" s="5" t="s">
        <v>10</v>
      </c>
      <c r="K30" s="5"/>
      <c r="L30" s="5"/>
      <c r="M30" s="5"/>
      <c r="N30" s="5"/>
      <c r="O30" s="5"/>
    </row>
    <row r="31" spans="1:15" s="16" customFormat="1" ht="75.099999999999994" customHeight="1" x14ac:dyDescent="0.25">
      <c r="A31" s="5" t="s">
        <v>367</v>
      </c>
      <c r="B31" s="5" t="s">
        <v>183</v>
      </c>
      <c r="C31" s="5" t="s">
        <v>504</v>
      </c>
      <c r="D31" s="5" t="s">
        <v>491</v>
      </c>
      <c r="E31" s="5" t="s">
        <v>34</v>
      </c>
      <c r="F31" s="5" t="s">
        <v>505</v>
      </c>
      <c r="G31" s="5" t="s">
        <v>506</v>
      </c>
      <c r="H31" s="5" t="s">
        <v>507</v>
      </c>
      <c r="I31" s="5"/>
      <c r="J31" s="5" t="s">
        <v>10</v>
      </c>
      <c r="K31" s="5"/>
      <c r="L31" s="5"/>
      <c r="M31" s="5"/>
      <c r="N31" s="5"/>
      <c r="O31" s="5"/>
    </row>
    <row r="32" spans="1:15" s="16" customFormat="1" ht="75.099999999999994" customHeight="1" x14ac:dyDescent="0.25">
      <c r="A32" s="5" t="s">
        <v>367</v>
      </c>
      <c r="B32" s="5" t="s">
        <v>189</v>
      </c>
      <c r="C32" s="5" t="s">
        <v>508</v>
      </c>
      <c r="D32" s="5" t="s">
        <v>509</v>
      </c>
      <c r="E32" s="5" t="s">
        <v>34</v>
      </c>
      <c r="F32" s="5" t="s">
        <v>510</v>
      </c>
      <c r="G32" s="5" t="s">
        <v>511</v>
      </c>
      <c r="H32" s="5" t="s">
        <v>512</v>
      </c>
      <c r="I32" s="5"/>
      <c r="J32" s="5" t="s">
        <v>10</v>
      </c>
      <c r="K32" s="5"/>
      <c r="L32" s="5"/>
      <c r="M32" s="5"/>
      <c r="N32" s="5"/>
      <c r="O32" s="5"/>
    </row>
    <row r="33" spans="1:15" ht="21.9" customHeight="1" x14ac:dyDescent="0.25">
      <c r="A33" s="24" t="s">
        <v>513</v>
      </c>
      <c r="B33" s="25"/>
      <c r="C33" s="25"/>
      <c r="D33" s="25"/>
      <c r="E33" s="25"/>
      <c r="F33" s="25"/>
      <c r="G33" s="25"/>
      <c r="H33" s="25"/>
      <c r="I33" s="25"/>
      <c r="J33" s="25"/>
      <c r="K33" s="25"/>
      <c r="L33" s="25"/>
      <c r="M33" s="25"/>
      <c r="N33" s="25"/>
      <c r="O33" s="25"/>
    </row>
    <row r="34" spans="1:15" ht="75.099999999999994" customHeight="1" x14ac:dyDescent="0.25">
      <c r="A34" s="5" t="s">
        <v>367</v>
      </c>
      <c r="B34" s="5" t="s">
        <v>195</v>
      </c>
      <c r="C34" s="5" t="s">
        <v>514</v>
      </c>
      <c r="D34" s="5" t="s">
        <v>515</v>
      </c>
      <c r="E34" s="5" t="s">
        <v>34</v>
      </c>
      <c r="F34" s="5" t="s">
        <v>516</v>
      </c>
      <c r="G34" s="5" t="s">
        <v>517</v>
      </c>
      <c r="H34" s="5" t="s">
        <v>518</v>
      </c>
      <c r="I34" s="5"/>
      <c r="J34" s="5" t="s">
        <v>6</v>
      </c>
      <c r="K34" s="5"/>
      <c r="L34" s="5"/>
      <c r="M34" s="5"/>
      <c r="N34" s="5"/>
      <c r="O34" s="5"/>
    </row>
    <row r="35" spans="1:15" ht="75.099999999999994" customHeight="1" x14ac:dyDescent="0.25">
      <c r="A35" s="5" t="s">
        <v>367</v>
      </c>
      <c r="B35" s="5" t="s">
        <v>88</v>
      </c>
      <c r="C35" s="5" t="s">
        <v>519</v>
      </c>
      <c r="D35" s="5" t="s">
        <v>520</v>
      </c>
      <c r="E35" s="5" t="s">
        <v>34</v>
      </c>
      <c r="F35" s="5" t="s">
        <v>521</v>
      </c>
      <c r="G35" s="5" t="s">
        <v>522</v>
      </c>
      <c r="H35" s="5" t="s">
        <v>523</v>
      </c>
      <c r="I35" s="5"/>
      <c r="J35" s="5" t="s">
        <v>8</v>
      </c>
      <c r="K35" s="5"/>
      <c r="L35" s="5"/>
      <c r="M35" s="5"/>
      <c r="N35" s="22"/>
      <c r="O35" s="5"/>
    </row>
    <row r="36" spans="1:15" ht="75.099999999999994" customHeight="1" x14ac:dyDescent="0.25">
      <c r="A36" s="5" t="s">
        <v>367</v>
      </c>
      <c r="B36" s="5" t="s">
        <v>94</v>
      </c>
      <c r="C36" s="5" t="s">
        <v>524</v>
      </c>
      <c r="D36" s="5" t="s">
        <v>491</v>
      </c>
      <c r="E36" s="5" t="s">
        <v>34</v>
      </c>
      <c r="F36" s="5" t="s">
        <v>525</v>
      </c>
      <c r="G36" s="5" t="s">
        <v>457</v>
      </c>
      <c r="H36" s="5" t="s">
        <v>526</v>
      </c>
      <c r="I36" s="5"/>
      <c r="J36" s="5" t="s">
        <v>8</v>
      </c>
      <c r="K36" s="5"/>
      <c r="L36" s="5"/>
      <c r="M36" s="5"/>
      <c r="N36" s="5"/>
      <c r="O36" s="5"/>
    </row>
    <row r="37" spans="1:15" ht="75.099999999999994" customHeight="1" x14ac:dyDescent="0.25">
      <c r="A37" s="5" t="s">
        <v>367</v>
      </c>
      <c r="B37" s="5" t="s">
        <v>98</v>
      </c>
      <c r="C37" s="5" t="s">
        <v>527</v>
      </c>
      <c r="D37" s="5" t="s">
        <v>528</v>
      </c>
      <c r="E37" s="5" t="s">
        <v>34</v>
      </c>
      <c r="F37" s="5" t="s">
        <v>529</v>
      </c>
      <c r="G37" s="5" t="s">
        <v>530</v>
      </c>
      <c r="H37" s="5" t="s">
        <v>531</v>
      </c>
      <c r="I37" s="5"/>
      <c r="J37" s="5" t="s">
        <v>8</v>
      </c>
      <c r="K37" s="5"/>
      <c r="L37" s="5"/>
      <c r="M37" s="5"/>
      <c r="N37" s="5"/>
      <c r="O37" s="5"/>
    </row>
    <row r="38" spans="1:15" ht="75.099999999999994" customHeight="1" x14ac:dyDescent="0.25">
      <c r="A38" s="5" t="s">
        <v>388</v>
      </c>
      <c r="B38" s="5" t="s">
        <v>103</v>
      </c>
      <c r="C38" s="5" t="s">
        <v>532</v>
      </c>
      <c r="D38" s="5" t="s">
        <v>533</v>
      </c>
      <c r="E38" s="5" t="s">
        <v>34</v>
      </c>
      <c r="F38" s="5" t="s">
        <v>534</v>
      </c>
      <c r="G38" s="5" t="s">
        <v>535</v>
      </c>
      <c r="H38" s="5" t="s">
        <v>536</v>
      </c>
      <c r="I38" s="5"/>
      <c r="J38" s="5" t="s">
        <v>8</v>
      </c>
      <c r="K38" s="5"/>
      <c r="L38" s="5"/>
      <c r="M38" s="5"/>
      <c r="N38" s="5"/>
      <c r="O38" s="5"/>
    </row>
    <row r="39" spans="1:15" ht="21.9" customHeight="1" x14ac:dyDescent="0.25">
      <c r="A39" s="24" t="s">
        <v>537</v>
      </c>
      <c r="B39" s="25"/>
      <c r="C39" s="25"/>
      <c r="D39" s="25"/>
      <c r="E39" s="25"/>
      <c r="F39" s="25"/>
      <c r="G39" s="25"/>
      <c r="H39" s="25"/>
      <c r="I39" s="25"/>
      <c r="J39" s="25"/>
      <c r="K39" s="25"/>
      <c r="L39" s="25"/>
      <c r="M39" s="25"/>
      <c r="N39" s="25"/>
      <c r="O39" s="25"/>
    </row>
    <row r="40" spans="1:15" ht="75.099999999999994" customHeight="1" x14ac:dyDescent="0.25">
      <c r="A40" s="5" t="s">
        <v>356</v>
      </c>
      <c r="B40" s="5" t="s">
        <v>109</v>
      </c>
      <c r="C40" s="5" t="s">
        <v>538</v>
      </c>
      <c r="D40" s="5" t="s">
        <v>539</v>
      </c>
      <c r="E40" s="5" t="s">
        <v>34</v>
      </c>
      <c r="F40" s="5" t="s">
        <v>540</v>
      </c>
      <c r="G40" s="5" t="s">
        <v>541</v>
      </c>
      <c r="H40" s="5" t="s">
        <v>542</v>
      </c>
      <c r="I40" s="5"/>
      <c r="J40" s="5" t="s">
        <v>6</v>
      </c>
      <c r="K40" s="5"/>
      <c r="L40" s="5"/>
      <c r="M40" s="5"/>
      <c r="N40" s="5"/>
      <c r="O40" s="5"/>
    </row>
    <row r="41" spans="1:15" ht="75.099999999999994" customHeight="1" x14ac:dyDescent="0.25">
      <c r="A41" s="5" t="s">
        <v>308</v>
      </c>
      <c r="B41" s="5" t="s">
        <v>115</v>
      </c>
      <c r="C41" s="5" t="s">
        <v>543</v>
      </c>
      <c r="D41" s="5" t="s">
        <v>544</v>
      </c>
      <c r="E41" s="5" t="s">
        <v>34</v>
      </c>
      <c r="F41" s="5" t="s">
        <v>545</v>
      </c>
      <c r="G41" s="5" t="s">
        <v>546</v>
      </c>
      <c r="H41" s="5" t="s">
        <v>547</v>
      </c>
      <c r="I41" s="5"/>
      <c r="J41" s="5" t="s">
        <v>8</v>
      </c>
      <c r="K41" s="5"/>
      <c r="L41" s="5"/>
      <c r="M41" s="5"/>
      <c r="N41" s="22"/>
      <c r="O41" s="5"/>
    </row>
    <row r="42" spans="1:15" ht="75.099999999999994" customHeight="1" x14ac:dyDescent="0.25">
      <c r="A42" s="5" t="s">
        <v>308</v>
      </c>
      <c r="B42" s="5" t="s">
        <v>121</v>
      </c>
      <c r="C42" s="5" t="s">
        <v>548</v>
      </c>
      <c r="D42" s="5" t="s">
        <v>549</v>
      </c>
      <c r="E42" s="5" t="s">
        <v>34</v>
      </c>
      <c r="F42" s="5" t="s">
        <v>550</v>
      </c>
      <c r="G42" s="5" t="s">
        <v>551</v>
      </c>
      <c r="H42" s="5" t="s">
        <v>552</v>
      </c>
      <c r="I42" s="5"/>
      <c r="J42" s="5" t="s">
        <v>8</v>
      </c>
      <c r="K42" s="5"/>
      <c r="L42" s="5"/>
      <c r="M42" s="5"/>
      <c r="N42" s="5"/>
      <c r="O42" s="5"/>
    </row>
    <row r="43" spans="1:15" ht="75.099999999999994" customHeight="1" x14ac:dyDescent="0.25">
      <c r="A43" s="5" t="s">
        <v>367</v>
      </c>
      <c r="B43" s="5" t="s">
        <v>202</v>
      </c>
      <c r="C43" s="5" t="s">
        <v>553</v>
      </c>
      <c r="D43" s="5" t="s">
        <v>491</v>
      </c>
      <c r="E43" s="5" t="s">
        <v>34</v>
      </c>
      <c r="F43" s="5" t="s">
        <v>554</v>
      </c>
      <c r="G43" s="5" t="s">
        <v>517</v>
      </c>
      <c r="H43" s="5" t="s">
        <v>555</v>
      </c>
      <c r="I43" s="5"/>
      <c r="J43" s="5" t="s">
        <v>8</v>
      </c>
      <c r="K43" s="5"/>
      <c r="L43" s="5"/>
      <c r="M43" s="5"/>
      <c r="N43" s="5"/>
      <c r="O43" s="5"/>
    </row>
    <row r="44" spans="1:15" ht="75.099999999999994" customHeight="1" x14ac:dyDescent="0.25">
      <c r="A44" s="5" t="s">
        <v>356</v>
      </c>
      <c r="B44" s="5" t="s">
        <v>208</v>
      </c>
      <c r="C44" s="5" t="s">
        <v>556</v>
      </c>
      <c r="D44" s="5" t="s">
        <v>557</v>
      </c>
      <c r="E44" s="5" t="s">
        <v>34</v>
      </c>
      <c r="F44" s="5" t="s">
        <v>558</v>
      </c>
      <c r="G44" s="5" t="s">
        <v>559</v>
      </c>
      <c r="H44" s="5" t="s">
        <v>560</v>
      </c>
      <c r="I44" s="5"/>
      <c r="J44" s="5" t="s">
        <v>6</v>
      </c>
      <c r="K44" s="5"/>
      <c r="L44" s="5"/>
      <c r="M44" s="5"/>
      <c r="N44" s="5"/>
      <c r="O44" s="5"/>
    </row>
    <row r="45" spans="1:15" ht="75.099999999999994" customHeight="1" x14ac:dyDescent="0.25">
      <c r="A45" s="5" t="s">
        <v>367</v>
      </c>
      <c r="B45" s="5" t="s">
        <v>215</v>
      </c>
      <c r="C45" s="5" t="s">
        <v>561</v>
      </c>
      <c r="D45" s="5" t="s">
        <v>491</v>
      </c>
      <c r="E45" s="5" t="s">
        <v>34</v>
      </c>
      <c r="F45" s="5" t="s">
        <v>562</v>
      </c>
      <c r="G45" s="5" t="s">
        <v>517</v>
      </c>
      <c r="H45" s="5" t="s">
        <v>563</v>
      </c>
      <c r="I45" s="5"/>
      <c r="J45" s="5" t="s">
        <v>6</v>
      </c>
      <c r="K45" s="5"/>
      <c r="L45" s="5"/>
      <c r="M45" s="5"/>
      <c r="N45" s="5"/>
      <c r="O45" s="5"/>
    </row>
    <row r="46" spans="1:15" ht="75.099999999999994" customHeight="1" x14ac:dyDescent="0.25">
      <c r="A46" s="5" t="s">
        <v>363</v>
      </c>
      <c r="B46" s="5" t="s">
        <v>258</v>
      </c>
      <c r="C46" s="5" t="s">
        <v>564</v>
      </c>
      <c r="D46" s="5" t="s">
        <v>565</v>
      </c>
      <c r="E46" s="5" t="s">
        <v>34</v>
      </c>
      <c r="F46" s="5" t="s">
        <v>566</v>
      </c>
      <c r="G46" s="5" t="s">
        <v>567</v>
      </c>
      <c r="H46" s="5" t="s">
        <v>568</v>
      </c>
      <c r="I46" s="5"/>
      <c r="J46" s="5" t="s">
        <v>8</v>
      </c>
      <c r="K46" s="5"/>
      <c r="L46" s="5"/>
      <c r="M46" s="5"/>
      <c r="N46" s="5"/>
      <c r="O46" s="5"/>
    </row>
    <row r="47" spans="1:15" ht="21.9" customHeight="1" x14ac:dyDescent="0.25">
      <c r="A47" s="24" t="s">
        <v>569</v>
      </c>
      <c r="B47" s="25"/>
      <c r="C47" s="25"/>
      <c r="D47" s="25"/>
      <c r="E47" s="25"/>
      <c r="F47" s="25"/>
      <c r="G47" s="25"/>
      <c r="H47" s="25"/>
      <c r="I47" s="25"/>
      <c r="J47" s="25"/>
      <c r="K47" s="25"/>
      <c r="L47" s="25"/>
      <c r="M47" s="25"/>
      <c r="N47" s="25"/>
      <c r="O47" s="25"/>
    </row>
    <row r="48" spans="1:15" ht="75.099999999999994" customHeight="1" x14ac:dyDescent="0.25">
      <c r="A48" s="5" t="s">
        <v>388</v>
      </c>
      <c r="B48" s="5" t="s">
        <v>221</v>
      </c>
      <c r="C48" s="5" t="s">
        <v>570</v>
      </c>
      <c r="D48" s="5" t="s">
        <v>571</v>
      </c>
      <c r="E48" s="5" t="s">
        <v>34</v>
      </c>
      <c r="F48" s="5" t="s">
        <v>572</v>
      </c>
      <c r="G48" s="5" t="s">
        <v>573</v>
      </c>
      <c r="H48" s="5" t="s">
        <v>574</v>
      </c>
      <c r="I48" s="5"/>
      <c r="J48" s="5" t="s">
        <v>8</v>
      </c>
      <c r="K48" s="5"/>
      <c r="L48" s="5"/>
      <c r="M48" s="5"/>
      <c r="N48" s="5"/>
      <c r="O48" s="5"/>
    </row>
    <row r="49" spans="1:15" ht="75.099999999999994" customHeight="1" x14ac:dyDescent="0.25">
      <c r="A49" s="5" t="s">
        <v>388</v>
      </c>
      <c r="B49" s="5" t="s">
        <v>126</v>
      </c>
      <c r="C49" s="5" t="s">
        <v>575</v>
      </c>
      <c r="D49" s="5" t="s">
        <v>576</v>
      </c>
      <c r="E49" s="5" t="s">
        <v>34</v>
      </c>
      <c r="F49" s="5" t="s">
        <v>577</v>
      </c>
      <c r="G49" s="5" t="s">
        <v>578</v>
      </c>
      <c r="H49" s="5" t="s">
        <v>579</v>
      </c>
      <c r="I49" s="5"/>
      <c r="J49" s="5" t="s">
        <v>10</v>
      </c>
      <c r="K49" s="5"/>
      <c r="L49" s="5"/>
      <c r="M49" s="5"/>
      <c r="N49" s="5"/>
      <c r="O49" s="5"/>
    </row>
    <row r="50" spans="1:15" ht="75.099999999999994" customHeight="1" x14ac:dyDescent="0.25">
      <c r="A50" s="5" t="s">
        <v>388</v>
      </c>
      <c r="B50" s="5" t="s">
        <v>132</v>
      </c>
      <c r="C50" s="5" t="s">
        <v>580</v>
      </c>
      <c r="D50" s="5" t="s">
        <v>581</v>
      </c>
      <c r="E50" s="5" t="s">
        <v>34</v>
      </c>
      <c r="F50" s="5" t="s">
        <v>582</v>
      </c>
      <c r="G50" s="5" t="s">
        <v>535</v>
      </c>
      <c r="H50" s="5" t="s">
        <v>583</v>
      </c>
      <c r="I50" s="5"/>
      <c r="J50" s="5" t="s">
        <v>10</v>
      </c>
      <c r="K50" s="5"/>
      <c r="L50" s="5"/>
      <c r="M50" s="5"/>
      <c r="N50" s="5"/>
      <c r="O50" s="5"/>
    </row>
    <row r="51" spans="1:15" ht="75.099999999999994" customHeight="1" x14ac:dyDescent="0.25">
      <c r="A51" s="5" t="s">
        <v>363</v>
      </c>
      <c r="B51" s="5" t="s">
        <v>234</v>
      </c>
      <c r="C51" s="5" t="s">
        <v>584</v>
      </c>
      <c r="D51" s="5" t="s">
        <v>585</v>
      </c>
      <c r="E51" s="5" t="s">
        <v>34</v>
      </c>
      <c r="F51" s="5" t="s">
        <v>586</v>
      </c>
      <c r="G51" s="5" t="s">
        <v>587</v>
      </c>
      <c r="H51" s="5" t="s">
        <v>588</v>
      </c>
      <c r="I51" s="5"/>
      <c r="J51" s="5" t="s">
        <v>10</v>
      </c>
      <c r="K51" s="5"/>
      <c r="L51" s="5"/>
      <c r="M51" s="5"/>
      <c r="N51" s="5"/>
      <c r="O51" s="5"/>
    </row>
    <row r="52" spans="1:15" ht="75.099999999999994" customHeight="1" x14ac:dyDescent="0.25">
      <c r="A52" s="5" t="s">
        <v>356</v>
      </c>
      <c r="B52" s="5" t="s">
        <v>264</v>
      </c>
      <c r="C52" s="5" t="s">
        <v>589</v>
      </c>
      <c r="D52" s="5" t="s">
        <v>590</v>
      </c>
      <c r="E52" s="5" t="s">
        <v>34</v>
      </c>
      <c r="F52" s="5" t="s">
        <v>591</v>
      </c>
      <c r="G52" s="5" t="s">
        <v>592</v>
      </c>
      <c r="H52" s="5" t="s">
        <v>593</v>
      </c>
      <c r="I52" s="5"/>
      <c r="J52" s="5" t="s">
        <v>8</v>
      </c>
      <c r="K52" s="5"/>
      <c r="L52" s="5"/>
      <c r="M52" s="5"/>
      <c r="N52" s="5"/>
      <c r="O52" s="5"/>
    </row>
    <row r="53" spans="1:15" ht="21.9" customHeight="1" x14ac:dyDescent="0.25">
      <c r="A53" s="24" t="s">
        <v>594</v>
      </c>
      <c r="B53" s="25"/>
      <c r="C53" s="25"/>
      <c r="D53" s="25"/>
      <c r="E53" s="25"/>
      <c r="F53" s="25"/>
      <c r="G53" s="25"/>
      <c r="H53" s="25"/>
      <c r="I53" s="25"/>
      <c r="J53" s="25"/>
      <c r="K53" s="25"/>
      <c r="L53" s="25"/>
      <c r="M53" s="25"/>
      <c r="N53" s="25"/>
      <c r="O53" s="25"/>
    </row>
    <row r="54" spans="1:15" ht="75.099999999999994" customHeight="1" x14ac:dyDescent="0.25">
      <c r="A54" s="5" t="s">
        <v>367</v>
      </c>
      <c r="B54" s="5" t="s">
        <v>227</v>
      </c>
      <c r="C54" s="5" t="s">
        <v>595</v>
      </c>
      <c r="D54" s="5" t="s">
        <v>596</v>
      </c>
      <c r="E54" s="5" t="s">
        <v>34</v>
      </c>
      <c r="F54" s="5" t="s">
        <v>597</v>
      </c>
      <c r="G54" s="5" t="s">
        <v>598</v>
      </c>
      <c r="H54" s="5" t="s">
        <v>599</v>
      </c>
      <c r="I54" s="5"/>
      <c r="J54" s="5" t="s">
        <v>8</v>
      </c>
      <c r="K54" s="5"/>
      <c r="L54" s="5"/>
      <c r="M54" s="5"/>
      <c r="N54" s="5"/>
      <c r="O54" s="5"/>
    </row>
    <row r="55" spans="1:15" ht="75.099999999999994" customHeight="1" x14ac:dyDescent="0.25">
      <c r="A55" s="5" t="s">
        <v>367</v>
      </c>
      <c r="B55" s="5" t="s">
        <v>240</v>
      </c>
      <c r="C55" s="5" t="s">
        <v>600</v>
      </c>
      <c r="D55" s="5" t="s">
        <v>601</v>
      </c>
      <c r="E55" s="5" t="s">
        <v>34</v>
      </c>
      <c r="F55" s="5" t="s">
        <v>602</v>
      </c>
      <c r="G55" s="5" t="s">
        <v>603</v>
      </c>
      <c r="H55" s="5" t="s">
        <v>604</v>
      </c>
      <c r="I55" s="5"/>
      <c r="J55" s="5" t="s">
        <v>8</v>
      </c>
      <c r="K55" s="5"/>
      <c r="L55" s="5"/>
      <c r="M55" s="5"/>
      <c r="N55" s="5"/>
      <c r="O55" s="5"/>
    </row>
    <row r="56" spans="1:15" ht="75.099999999999994" customHeight="1" x14ac:dyDescent="0.25">
      <c r="A56" s="5" t="s">
        <v>367</v>
      </c>
      <c r="B56" s="5" t="s">
        <v>246</v>
      </c>
      <c r="C56" s="5" t="s">
        <v>605</v>
      </c>
      <c r="D56" s="5" t="s">
        <v>491</v>
      </c>
      <c r="E56" s="5" t="s">
        <v>34</v>
      </c>
      <c r="F56" s="5" t="s">
        <v>606</v>
      </c>
      <c r="G56" s="5" t="s">
        <v>607</v>
      </c>
      <c r="H56" s="5" t="s">
        <v>608</v>
      </c>
      <c r="I56" s="5"/>
      <c r="J56" s="5" t="s">
        <v>8</v>
      </c>
      <c r="K56" s="5"/>
      <c r="L56" s="5"/>
      <c r="M56" s="5"/>
      <c r="N56" s="5"/>
      <c r="O56" s="5"/>
    </row>
    <row r="57" spans="1:15" ht="75.099999999999994" customHeight="1" x14ac:dyDescent="0.25">
      <c r="A57" s="5" t="s">
        <v>388</v>
      </c>
      <c r="B57" s="5" t="s">
        <v>252</v>
      </c>
      <c r="C57" s="5" t="s">
        <v>609</v>
      </c>
      <c r="D57" s="5" t="s">
        <v>610</v>
      </c>
      <c r="E57" s="5" t="s">
        <v>34</v>
      </c>
      <c r="F57" s="5" t="s">
        <v>611</v>
      </c>
      <c r="G57" s="5" t="s">
        <v>612</v>
      </c>
      <c r="H57" s="5" t="s">
        <v>613</v>
      </c>
      <c r="I57" s="5"/>
      <c r="J57" s="5" t="s">
        <v>10</v>
      </c>
      <c r="K57" s="5"/>
      <c r="L57" s="5"/>
      <c r="M57" s="5"/>
      <c r="N57" s="5"/>
      <c r="O57" s="5"/>
    </row>
    <row r="58" spans="1:15" ht="75.099999999999994" customHeight="1" x14ac:dyDescent="0.25">
      <c r="A58" s="5" t="s">
        <v>356</v>
      </c>
      <c r="B58" s="5" t="s">
        <v>614</v>
      </c>
      <c r="C58" s="5" t="s">
        <v>615</v>
      </c>
      <c r="D58" s="5" t="s">
        <v>616</v>
      </c>
      <c r="E58" s="5" t="s">
        <v>34</v>
      </c>
      <c r="F58" s="5" t="s">
        <v>617</v>
      </c>
      <c r="G58" s="5" t="s">
        <v>618</v>
      </c>
      <c r="H58" s="5" t="s">
        <v>619</v>
      </c>
      <c r="I58" s="5"/>
      <c r="J58" s="5" t="s">
        <v>6</v>
      </c>
      <c r="K58" s="5"/>
      <c r="L58" s="5"/>
      <c r="M58" s="5"/>
      <c r="N58" s="5"/>
      <c r="O58" s="5"/>
    </row>
    <row r="59" spans="1:15" x14ac:dyDescent="0.25">
      <c r="A59" s="23"/>
      <c r="B59" s="23"/>
      <c r="C59" s="23"/>
      <c r="D59" s="23"/>
      <c r="E59" s="23"/>
      <c r="F59" s="23"/>
      <c r="G59" s="23"/>
      <c r="H59" s="23"/>
      <c r="I59" s="23"/>
      <c r="J59" s="23"/>
      <c r="K59" s="23"/>
      <c r="L59" s="23"/>
      <c r="M59" s="23"/>
      <c r="N59" s="23"/>
      <c r="O59" s="23"/>
    </row>
    <row r="60" spans="1:15" x14ac:dyDescent="0.25">
      <c r="A60" s="23"/>
      <c r="B60" s="23"/>
      <c r="C60" s="23"/>
      <c r="D60" s="23"/>
      <c r="E60" s="23"/>
      <c r="F60" s="23"/>
      <c r="G60" s="23"/>
      <c r="H60" s="23"/>
      <c r="I60" s="23"/>
      <c r="J60" s="23"/>
      <c r="K60" s="23"/>
      <c r="L60" s="23"/>
      <c r="M60" s="23"/>
      <c r="N60" s="23"/>
      <c r="O60" s="23"/>
    </row>
    <row r="61" spans="1:15" x14ac:dyDescent="0.25">
      <c r="A61" s="23"/>
      <c r="B61" s="23"/>
      <c r="C61" s="23"/>
      <c r="D61" s="23"/>
      <c r="E61" s="23"/>
      <c r="F61" s="23"/>
      <c r="G61" s="23"/>
      <c r="H61" s="23"/>
      <c r="I61" s="23"/>
      <c r="J61" s="23"/>
      <c r="K61" s="23"/>
      <c r="L61" s="23"/>
      <c r="M61" s="23"/>
      <c r="N61" s="23"/>
      <c r="O61" s="23"/>
    </row>
    <row r="62" spans="1:15" x14ac:dyDescent="0.25">
      <c r="A62" s="23"/>
      <c r="B62" s="23"/>
      <c r="C62" s="23"/>
      <c r="D62" s="23"/>
      <c r="E62" s="23"/>
      <c r="F62" s="23"/>
      <c r="G62" s="23"/>
      <c r="H62" s="23"/>
      <c r="I62" s="23"/>
      <c r="J62" s="23"/>
      <c r="K62" s="23"/>
      <c r="L62" s="23"/>
      <c r="M62" s="23"/>
      <c r="N62" s="23"/>
      <c r="O62" s="23"/>
    </row>
    <row r="63" spans="1:15" x14ac:dyDescent="0.25">
      <c r="A63" s="23"/>
      <c r="B63" s="23"/>
      <c r="C63" s="23"/>
      <c r="D63" s="23"/>
      <c r="E63" s="23"/>
      <c r="F63" s="23"/>
      <c r="G63" s="23"/>
      <c r="H63" s="23"/>
      <c r="I63" s="23"/>
      <c r="J63" s="23"/>
      <c r="K63" s="23"/>
      <c r="L63" s="23"/>
      <c r="M63" s="23"/>
      <c r="N63" s="23"/>
      <c r="O63" s="23"/>
    </row>
    <row r="64" spans="1:15" x14ac:dyDescent="0.25">
      <c r="A64" s="23"/>
      <c r="B64" s="23"/>
      <c r="C64" s="23"/>
      <c r="D64" s="23"/>
      <c r="E64" s="23"/>
      <c r="F64" s="23"/>
      <c r="G64" s="23"/>
      <c r="H64" s="23"/>
      <c r="I64" s="23"/>
      <c r="J64" s="23"/>
      <c r="K64" s="23"/>
      <c r="L64" s="23"/>
      <c r="M64" s="23"/>
      <c r="N64" s="23"/>
      <c r="O64" s="23"/>
    </row>
    <row r="65" spans="1:15" x14ac:dyDescent="0.25">
      <c r="A65" s="23"/>
      <c r="B65" s="23"/>
      <c r="C65" s="23"/>
      <c r="D65" s="23"/>
      <c r="E65" s="23"/>
      <c r="F65" s="23"/>
      <c r="G65" s="23"/>
      <c r="H65" s="23"/>
      <c r="I65" s="23"/>
      <c r="J65" s="23"/>
      <c r="K65" s="23"/>
      <c r="L65" s="23"/>
      <c r="M65" s="23"/>
      <c r="N65" s="23"/>
      <c r="O65" s="23"/>
    </row>
    <row r="66" spans="1:15" x14ac:dyDescent="0.25">
      <c r="A66" s="23"/>
      <c r="B66" s="23"/>
      <c r="C66" s="23"/>
      <c r="D66" s="23"/>
      <c r="E66" s="23"/>
      <c r="F66" s="23"/>
      <c r="G66" s="23"/>
      <c r="H66" s="23"/>
      <c r="I66" s="23"/>
      <c r="J66" s="23"/>
      <c r="K66" s="23"/>
      <c r="L66" s="23"/>
      <c r="M66" s="23"/>
      <c r="N66" s="23"/>
      <c r="O66" s="23"/>
    </row>
    <row r="67" spans="1:15" x14ac:dyDescent="0.25">
      <c r="A67" s="23"/>
      <c r="B67" s="23"/>
      <c r="C67" s="23"/>
      <c r="D67" s="23"/>
      <c r="E67" s="23"/>
      <c r="F67" s="23"/>
      <c r="G67" s="23"/>
      <c r="H67" s="23"/>
      <c r="I67" s="23"/>
      <c r="J67" s="23"/>
      <c r="K67" s="23"/>
      <c r="L67" s="23"/>
      <c r="M67" s="23"/>
      <c r="N67" s="23"/>
      <c r="O67" s="23"/>
    </row>
    <row r="68" spans="1:15" x14ac:dyDescent="0.25">
      <c r="A68" s="23"/>
      <c r="B68" s="23"/>
      <c r="C68" s="23"/>
      <c r="D68" s="23"/>
      <c r="E68" s="23"/>
      <c r="F68" s="23"/>
      <c r="G68" s="23"/>
      <c r="H68" s="23"/>
      <c r="I68" s="23"/>
      <c r="J68" s="23"/>
      <c r="K68" s="23"/>
      <c r="L68" s="23"/>
      <c r="M68" s="23"/>
      <c r="N68" s="23"/>
      <c r="O68" s="23"/>
    </row>
    <row r="69" spans="1:15" x14ac:dyDescent="0.25">
      <c r="A69" s="23"/>
      <c r="B69" s="23"/>
      <c r="C69" s="23"/>
      <c r="D69" s="23"/>
      <c r="E69" s="23"/>
      <c r="F69" s="23"/>
      <c r="G69" s="23"/>
      <c r="H69" s="23"/>
      <c r="I69" s="23"/>
      <c r="J69" s="23"/>
      <c r="K69" s="23"/>
      <c r="L69" s="23"/>
      <c r="M69" s="23"/>
      <c r="N69" s="23"/>
      <c r="O69" s="23"/>
    </row>
    <row r="70" spans="1:15" x14ac:dyDescent="0.25">
      <c r="A70" s="23"/>
      <c r="B70" s="23"/>
      <c r="C70" s="23"/>
      <c r="D70" s="23"/>
      <c r="E70" s="23"/>
      <c r="F70" s="23"/>
      <c r="G70" s="23"/>
      <c r="H70" s="23"/>
      <c r="I70" s="23"/>
      <c r="J70" s="23"/>
      <c r="K70" s="23"/>
      <c r="L70" s="23"/>
      <c r="M70" s="23"/>
      <c r="N70" s="23"/>
      <c r="O70" s="23"/>
    </row>
    <row r="71" spans="1:15" x14ac:dyDescent="0.25">
      <c r="A71" s="23"/>
      <c r="B71" s="23"/>
      <c r="C71" s="23"/>
      <c r="D71" s="23"/>
      <c r="E71" s="23"/>
      <c r="F71" s="23"/>
      <c r="G71" s="23"/>
      <c r="H71" s="23"/>
      <c r="I71" s="23"/>
      <c r="J71" s="23"/>
      <c r="K71" s="23"/>
      <c r="L71" s="23"/>
      <c r="M71" s="23"/>
      <c r="N71" s="23"/>
      <c r="O71" s="23"/>
    </row>
    <row r="72" spans="1:15" x14ac:dyDescent="0.25">
      <c r="A72" s="23"/>
      <c r="B72" s="23"/>
      <c r="C72" s="23"/>
      <c r="D72" s="23"/>
      <c r="E72" s="23"/>
      <c r="F72" s="23"/>
      <c r="G72" s="23"/>
      <c r="H72" s="23"/>
      <c r="I72" s="23"/>
      <c r="J72" s="23"/>
      <c r="K72" s="23"/>
      <c r="L72" s="23"/>
      <c r="M72" s="23"/>
      <c r="N72" s="23"/>
      <c r="O72" s="23"/>
    </row>
    <row r="73" spans="1:15" x14ac:dyDescent="0.25">
      <c r="A73" s="23"/>
      <c r="B73" s="23"/>
      <c r="C73" s="23"/>
      <c r="D73" s="23"/>
      <c r="E73" s="23"/>
      <c r="F73" s="23"/>
      <c r="G73" s="23"/>
      <c r="H73" s="23"/>
      <c r="I73" s="23"/>
      <c r="J73" s="23"/>
      <c r="K73" s="23"/>
      <c r="L73" s="23"/>
      <c r="M73" s="23"/>
      <c r="N73" s="23"/>
      <c r="O73" s="23"/>
    </row>
    <row r="74" spans="1:15" x14ac:dyDescent="0.25">
      <c r="A74" s="23"/>
      <c r="B74" s="23"/>
      <c r="C74" s="23"/>
      <c r="D74" s="23"/>
      <c r="E74" s="23"/>
      <c r="F74" s="23"/>
      <c r="G74" s="23"/>
      <c r="H74" s="23"/>
      <c r="I74" s="23"/>
      <c r="J74" s="23"/>
      <c r="K74" s="23"/>
      <c r="L74" s="23"/>
      <c r="M74" s="23"/>
      <c r="N74" s="23"/>
      <c r="O74" s="23"/>
    </row>
    <row r="75" spans="1:15" x14ac:dyDescent="0.25">
      <c r="A75" s="23"/>
      <c r="B75" s="23"/>
      <c r="C75" s="23"/>
      <c r="D75" s="23"/>
      <c r="E75" s="23"/>
      <c r="F75" s="23"/>
      <c r="G75" s="23"/>
      <c r="H75" s="23"/>
      <c r="I75" s="23"/>
      <c r="J75" s="23"/>
      <c r="K75" s="23"/>
      <c r="L75" s="23"/>
      <c r="M75" s="23"/>
      <c r="N75" s="23"/>
      <c r="O75" s="23"/>
    </row>
    <row r="76" spans="1:15" x14ac:dyDescent="0.25">
      <c r="A76" s="23"/>
      <c r="B76" s="23"/>
      <c r="C76" s="23"/>
      <c r="D76" s="23"/>
      <c r="E76" s="23"/>
      <c r="F76" s="23"/>
      <c r="G76" s="23"/>
      <c r="H76" s="23"/>
      <c r="I76" s="23"/>
      <c r="J76" s="23"/>
      <c r="K76" s="23"/>
      <c r="L76" s="23"/>
      <c r="M76" s="23"/>
      <c r="N76" s="23"/>
      <c r="O76" s="23"/>
    </row>
    <row r="77" spans="1:15" x14ac:dyDescent="0.25">
      <c r="A77" s="23"/>
      <c r="B77" s="23"/>
      <c r="C77" s="23"/>
      <c r="D77" s="23"/>
      <c r="E77" s="23"/>
      <c r="F77" s="23"/>
      <c r="G77" s="23"/>
      <c r="H77" s="23"/>
      <c r="I77" s="23"/>
      <c r="J77" s="23"/>
      <c r="K77" s="23"/>
      <c r="L77" s="23"/>
      <c r="M77" s="23"/>
      <c r="N77" s="23"/>
      <c r="O77" s="23"/>
    </row>
  </sheetData>
  <mergeCells count="7">
    <mergeCell ref="A10:O10"/>
    <mergeCell ref="A33:O33"/>
    <mergeCell ref="A47:O47"/>
    <mergeCell ref="A27:O27"/>
    <mergeCell ref="A53:O53"/>
    <mergeCell ref="A18:O18"/>
    <mergeCell ref="A39:O39"/>
  </mergeCells>
  <conditionalFormatting sqref="L11:L17 L19:L26 L28:L32 L34:L38 L40:L46 L48:L52 L54:L58">
    <cfRule type="containsText" dxfId="3" priority="1" operator="containsText" text="Passed">
      <formula>NOT(ISERROR(SEARCH("Passed",L11)))</formula>
    </cfRule>
    <cfRule type="containsText" dxfId="2" priority="2" operator="containsText" text="Failed">
      <formula>NOT(ISERROR(SEARCH("Failed",L11)))</formula>
    </cfRule>
    <cfRule type="containsText" dxfId="1" priority="3" operator="containsText" text="Pending">
      <formula>NOT(ISERROR(SEARCH("Pending",L11)))</formula>
    </cfRule>
    <cfRule type="containsText" dxfId="0" priority="4" operator="containsText" text="Blocked">
      <formula>NOT(ISERROR(SEARCH("Blocked",L11)))</formula>
    </cfRule>
  </conditionalFormatting>
  <dataValidations count="1">
    <dataValidation type="list" allowBlank="1" sqref="L11 L12 L13 L14 L15 L16 L17 L19 L20 L21 L22 L23 L24 L25 L26 L28 L29 L30 L31 L32 L34 L35 L36 L37 L38 L40 L41 L42 L43 L44 L45 L46 L48 L49 L50 L51 L52 L54 L55 L56 L57 L58" xr:uid="{00000000-0002-0000-0400-000000000000}">
      <formula1>"Passed,Failed,Pending,Blocked,Not test"</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Config</vt:lpstr>
      <vt:lpstr>RTM (Detail BRD)</vt:lpstr>
      <vt:lpstr>a. Customer Account Creation</vt:lpstr>
      <vt:lpstr>b. Customer 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Kieu Anh (TECHVIFY.D1)</cp:lastModifiedBy>
  <dcterms:created xsi:type="dcterms:W3CDTF">2026-06-10T09:22:26Z</dcterms:created>
  <dcterms:modified xsi:type="dcterms:W3CDTF">2026-07-29T03:56:39Z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0x01010085E0FFA8BC67C04FA808A66F8AA4AC89</vt:lpwstr>
  </property>
  <property fmtid="{D5CDD505-2E9C-101B-9397-08002B2CF9AE}" pid="3" name="MediaServiceImageTags">
    <vt:lpwstr/>
  </property>
</Properties>
</file>